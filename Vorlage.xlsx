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75" yWindow="-21720" windowWidth="51840" windowHeight="21120" tabRatio="600" firstSheet="1" activeTab="1" autoFilterDateGrouping="1"/>
  </bookViews>
  <sheets>
    <sheet xmlns:r="http://schemas.openxmlformats.org/officeDocument/2006/relationships" name="Market Sizing" sheetId="1" state="hidden" r:id="rId1"/>
    <sheet xmlns:r="http://schemas.openxmlformats.org/officeDocument/2006/relationships" name="Scraper Data" sheetId="2" state="visible" r:id="rId2"/>
  </sheets>
  <definedNames>
    <definedName name="_xlnm._FilterDatabase" localSheetId="1" hidden="1">'Scraper Data'!$B$4:$R$4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 tint="0.499984740745262"/>
      <sz val="11"/>
      <scheme val="minor"/>
    </font>
    <font>
      <name val="Aptos Narrow"/>
      <family val="2"/>
      <color rgb="FF0070C0"/>
      <sz val="11"/>
      <scheme val="minor"/>
    </font>
    <font>
      <name val="Aptos Narrow"/>
      <family val="2"/>
      <color theme="1" tint="0.499984740745262"/>
      <sz val="11"/>
      <scheme val="minor"/>
    </font>
    <font>
      <name val="Arial"/>
      <family val="2"/>
      <color theme="1"/>
      <sz val="10"/>
    </font>
    <font>
      <name val="Calibri"/>
      <charset val="1"/>
      <family val="2"/>
      <color theme="1"/>
      <sz val="11"/>
    </font>
    <font>
      <name val="Aptos Narrow"/>
      <sz val="11"/>
    </font>
    <font>
      <name val="Aptos Narrow"/>
      <b val="1"/>
      <sz val="11"/>
    </font>
    <font>
      <name val="Calibri"/>
      <b val="1"/>
      <color rgb="FF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>
      <left/>
      <right/>
      <top/>
      <bottom/>
      <diagonal/>
    </border>
    <border>
      <left style="hair">
        <color theme="0" tint="-0.1499984740745262"/>
      </left>
      <right style="hair">
        <color theme="0" tint="-0.1499984740745262"/>
      </right>
      <top style="hair">
        <color theme="0" tint="-0.1499984740745262"/>
      </top>
      <bottom style="hair">
        <color theme="0" tint="-0.1499984740745262"/>
      </bottom>
      <diagonal/>
    </border>
    <border>
      <left style="hair">
        <color theme="0" tint="-0.1499984740745262"/>
      </left>
      <right style="hair">
        <color theme="0" tint="-0.1499984740745262"/>
      </right>
      <top/>
      <bottom/>
      <diagonal/>
    </border>
    <border>
      <left style="medium">
        <color theme="0" tint="-0.1499984740745262"/>
      </left>
      <right style="medium">
        <color theme="0" tint="-0.1499984740745262"/>
      </right>
      <top style="medium">
        <color theme="0" tint="-0.1499984740745262"/>
      </top>
      <bottom style="medium">
        <color theme="0" tint="-0.1499984740745262"/>
      </bottom>
      <diagonal/>
    </border>
    <border>
      <left/>
      <right/>
      <top/>
      <bottom/>
      <diagonal/>
    </border>
  </borders>
  <cellStyleXfs count="3">
    <xf numFmtId="0" fontId="0" fillId="0" borderId="4"/>
    <xf numFmtId="49" fontId="7" fillId="0" borderId="4"/>
    <xf numFmtId="0" fontId="8" fillId="0" borderId="4"/>
  </cellStyleXfs>
  <cellXfs count="2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vertical="center"/>
    </xf>
    <xf numFmtId="0" fontId="1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5" fillId="0" borderId="1" pivotButton="0" quotePrefix="0" xfId="0"/>
    <xf numFmtId="9" fontId="5" fillId="0" borderId="1" pivotButton="0" quotePrefix="0" xfId="0"/>
    <xf numFmtId="3" fontId="5" fillId="0" borderId="1" pivotButton="0" quotePrefix="0" xfId="0"/>
    <xf numFmtId="0" fontId="3" fillId="5" borderId="0" applyAlignment="1" pivotButton="0" quotePrefix="0" xfId="0">
      <alignment horizontal="center"/>
    </xf>
    <xf numFmtId="0" fontId="2" fillId="0" borderId="0" pivotButton="0" quotePrefix="0" xfId="0"/>
    <xf numFmtId="0" fontId="1" fillId="0" borderId="2" pivotButton="0" quotePrefix="0" xfId="0"/>
    <xf numFmtId="3" fontId="1" fillId="0" borderId="0" pivotButton="0" quotePrefix="0" xfId="0"/>
    <xf numFmtId="3" fontId="1" fillId="4" borderId="3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3" borderId="0" pivotButton="0" quotePrefix="0" xfId="0"/>
    <xf numFmtId="3" fontId="6" fillId="4" borderId="1" applyAlignment="1" pivotButton="0" quotePrefix="0" xfId="0">
      <alignment horizontal="left"/>
    </xf>
    <xf numFmtId="0" fontId="9" fillId="0" borderId="4" pivotButton="0" quotePrefix="0" xfId="0"/>
    <xf numFmtId="0" fontId="11" fillId="6" borderId="4" applyAlignment="1" pivotButton="0" quotePrefix="0" xfId="0">
      <alignment horizontal="center" vertical="center" wrapText="1"/>
    </xf>
    <xf numFmtId="0" fontId="10" fillId="0" borderId="4" pivotButton="0" quotePrefix="0" xfId="0"/>
    <xf numFmtId="0" fontId="12" fillId="7" borderId="0" applyAlignment="1" pivotButton="0" quotePrefix="0" xfId="0">
      <alignment horizontal="center" vertical="center" wrapText="1"/>
    </xf>
  </cellXfs>
  <cellStyles count="3">
    <cellStyle name="Normal" xfId="0" builtinId="0"/>
    <cellStyle name="Normal 4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Q54"/>
  <sheetViews>
    <sheetView showGridLines="0" zoomScale="70" zoomScaleNormal="70" workbookViewId="0">
      <selection activeCell="D10" sqref="D10"/>
    </sheetView>
  </sheetViews>
  <sheetFormatPr baseColWidth="8" defaultRowHeight="14.4" outlineLevelRow="1"/>
  <cols>
    <col width="0.33203125" customWidth="1" min="2" max="2"/>
    <col width="13" customWidth="1" min="3" max="3"/>
    <col width="11.44140625" customWidth="1" min="4" max="13"/>
    <col width="0.88671875" customWidth="1" min="15" max="15"/>
    <col width="25.77734375" customWidth="1" min="17" max="17"/>
  </cols>
  <sheetData>
    <row r="3" ht="19.5" customHeight="1">
      <c r="B3" s="1" t="n"/>
      <c r="C3" s="3" t="inlineStr">
        <is>
          <t>Market Sizing - Achsenmarkt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O3" s="2" t="n"/>
      <c r="Q3" s="17" t="inlineStr">
        <is>
          <t>Source</t>
        </is>
      </c>
    </row>
    <row r="5">
      <c r="C5" t="inlineStr">
        <is>
          <t>Scenario</t>
        </is>
      </c>
      <c r="D5" s="11" t="inlineStr">
        <is>
          <t>Agressive</t>
        </is>
      </c>
      <c r="E5" s="12">
        <f>IF(D5="Agressive",1,IF(D5="Base Case",2,3))</f>
        <v/>
      </c>
      <c r="F5" s="12">
        <f>CHOOSE(E5,0.05,0,-0.05)</f>
        <v/>
      </c>
    </row>
    <row r="6">
      <c r="F6" s="12" t="n"/>
    </row>
    <row r="8">
      <c r="C8" s="5" t="inlineStr">
        <is>
          <t>Units in '000</t>
        </is>
      </c>
    </row>
    <row r="9">
      <c r="C9" s="7" t="inlineStr">
        <is>
          <t>Nato-Märkte</t>
        </is>
      </c>
      <c r="D9" s="16" t="inlineStr">
        <is>
          <t>Trailertyp 1</t>
        </is>
      </c>
      <c r="E9" s="16" t="inlineStr">
        <is>
          <t>Trailertyp 2</t>
        </is>
      </c>
      <c r="F9" s="16" t="inlineStr">
        <is>
          <t>Trailertyp 3</t>
        </is>
      </c>
      <c r="G9" s="16" t="inlineStr">
        <is>
          <t>Trailertyp 4</t>
        </is>
      </c>
      <c r="H9" s="16" t="inlineStr">
        <is>
          <t>Trailertyp 5</t>
        </is>
      </c>
      <c r="I9" s="16" t="inlineStr">
        <is>
          <t>Trailertyp 6</t>
        </is>
      </c>
      <c r="J9" s="16" t="inlineStr">
        <is>
          <t>Trailertyp 7</t>
        </is>
      </c>
      <c r="K9" s="16" t="inlineStr">
        <is>
          <t>Trailertyp 8</t>
        </is>
      </c>
      <c r="L9" s="16" t="inlineStr">
        <is>
          <t>Trailertyp 9</t>
        </is>
      </c>
      <c r="M9" s="16" t="inlineStr">
        <is>
          <t>Trailertyp 10</t>
        </is>
      </c>
      <c r="O9" s="2" t="n"/>
    </row>
    <row r="10" outlineLevel="1">
      <c r="C10" s="6" t="inlineStr">
        <is>
          <t>GER</t>
        </is>
      </c>
      <c r="D10" s="10" t="n">
        <v>84.28573923913005</v>
      </c>
      <c r="E10" s="10" t="n">
        <v>31.15942932025452</v>
      </c>
      <c r="F10" s="10" t="n">
        <v>58.39933578113429</v>
      </c>
      <c r="G10" s="10" t="n">
        <v>2.523440880137007</v>
      </c>
      <c r="H10" s="10" t="n">
        <v>25.14267926980082</v>
      </c>
      <c r="I10" s="10" t="n">
        <v>91.37253615732993</v>
      </c>
      <c r="J10" s="10" t="n">
        <v>94.70335762810222</v>
      </c>
      <c r="K10" s="10" t="n">
        <v>46.13852104289711</v>
      </c>
      <c r="L10" s="10" t="n">
        <v>44.89268822520934</v>
      </c>
      <c r="M10" s="10" t="n">
        <v>75.14782807922052</v>
      </c>
      <c r="O10" s="2" t="n"/>
      <c r="Q10" s="18" t="inlineStr">
        <is>
          <t>…</t>
        </is>
      </c>
    </row>
    <row r="11" outlineLevel="1">
      <c r="C11" s="6" t="inlineStr">
        <is>
          <t>UK</t>
        </is>
      </c>
      <c r="D11" s="10" t="n">
        <v>69.87304210869587</v>
      </c>
      <c r="E11" s="10" t="n">
        <v>67.26112427010132</v>
      </c>
      <c r="F11" s="10" t="n">
        <v>9.974678820194182</v>
      </c>
      <c r="G11" s="10" t="n">
        <v>23.48168352227577</v>
      </c>
      <c r="H11" s="10" t="n">
        <v>70.23547130375009</v>
      </c>
      <c r="I11" s="10" t="n">
        <v>21.41861530125744</v>
      </c>
      <c r="J11" s="10" t="n">
        <v>99.42936957538609</v>
      </c>
      <c r="K11" s="10" t="n">
        <v>64.83781246930026</v>
      </c>
      <c r="L11" s="10" t="n">
        <v>94.81607660927644</v>
      </c>
      <c r="M11" s="10" t="n">
        <v>68.60385606766968</v>
      </c>
      <c r="O11" s="2" t="n"/>
      <c r="Q11" s="18" t="inlineStr">
        <is>
          <t>…</t>
        </is>
      </c>
    </row>
    <row r="12" outlineLevel="1">
      <c r="C12" s="6" t="inlineStr">
        <is>
          <t>Italien</t>
        </is>
      </c>
      <c r="D12" s="10" t="n">
        <v>0.2227529279454354</v>
      </c>
      <c r="E12" s="10" t="n">
        <v>48.88630259440503</v>
      </c>
      <c r="F12" s="10" t="n">
        <v>75.83422064221456</v>
      </c>
      <c r="G12" s="10" t="n">
        <v>58.34611370329487</v>
      </c>
      <c r="H12" s="10" t="n">
        <v>99.77025625624547</v>
      </c>
      <c r="I12" s="10" t="n">
        <v>77.90082054293038</v>
      </c>
      <c r="J12" s="10" t="n">
        <v>27.38823111004113</v>
      </c>
      <c r="K12" s="10" t="n">
        <v>70.08003255250638</v>
      </c>
      <c r="L12" s="10" t="n">
        <v>56.70867304515893</v>
      </c>
      <c r="M12" s="10" t="n">
        <v>53.50226608079753</v>
      </c>
      <c r="O12" s="2" t="n"/>
      <c r="Q12" s="18" t="inlineStr">
        <is>
          <t>…</t>
        </is>
      </c>
    </row>
    <row r="13" outlineLevel="1">
      <c r="C13" s="6" t="inlineStr">
        <is>
          <t>Frankreich</t>
        </is>
      </c>
      <c r="D13" s="10" t="n">
        <v>47.05000623126799</v>
      </c>
      <c r="E13" s="10" t="n">
        <v>60.06905879762554</v>
      </c>
      <c r="F13" s="10" t="n">
        <v>52.65406182569345</v>
      </c>
      <c r="G13" s="10" t="n">
        <v>34.38065502219032</v>
      </c>
      <c r="H13" s="10" t="n">
        <v>53.76803467982884</v>
      </c>
      <c r="I13" s="10" t="n">
        <v>7.173392118442701</v>
      </c>
      <c r="J13" s="10" t="n">
        <v>46.44858965746486</v>
      </c>
      <c r="K13" s="10" t="n">
        <v>65.19790897849823</v>
      </c>
      <c r="L13" s="10" t="n">
        <v>77.40802651601331</v>
      </c>
      <c r="M13" s="10" t="n">
        <v>3.537429076415921</v>
      </c>
      <c r="O13" s="2" t="n"/>
      <c r="Q13" s="18" t="inlineStr">
        <is>
          <t>…</t>
        </is>
      </c>
    </row>
    <row r="14" outlineLevel="1">
      <c r="C14" s="6" t="inlineStr">
        <is>
          <t>Spanien</t>
        </is>
      </c>
      <c r="D14" s="10" t="n">
        <v>23.42756148756213</v>
      </c>
      <c r="E14" s="10" t="n">
        <v>99.31658876799276</v>
      </c>
      <c r="F14" s="10" t="n">
        <v>66.36484628149753</v>
      </c>
      <c r="G14" s="10" t="n">
        <v>52.33414778342267</v>
      </c>
      <c r="H14" s="10" t="n">
        <v>74.83018007328887</v>
      </c>
      <c r="I14" s="10" t="n">
        <v>98.08242743124795</v>
      </c>
      <c r="J14" s="10" t="n">
        <v>27.27707658363019</v>
      </c>
      <c r="K14" s="10" t="n">
        <v>4.430845593777599</v>
      </c>
      <c r="L14" s="10" t="n">
        <v>69.93410494649535</v>
      </c>
      <c r="M14" s="10" t="n">
        <v>1.378011179980043</v>
      </c>
      <c r="O14" s="2" t="n"/>
      <c r="Q14" s="18" t="inlineStr">
        <is>
          <t>…</t>
        </is>
      </c>
    </row>
    <row r="15" outlineLevel="1">
      <c r="C15" s="6" t="inlineStr">
        <is>
          <t>EU-27</t>
        </is>
      </c>
      <c r="D15" s="10" t="n">
        <v>99.49217714545934</v>
      </c>
      <c r="E15" s="10" t="n">
        <v>65.46167059279561</v>
      </c>
      <c r="F15" s="10" t="n">
        <v>3.374834178350006</v>
      </c>
      <c r="G15" s="10" t="n">
        <v>12.80392440859785</v>
      </c>
      <c r="H15" s="10" t="n">
        <v>90.5486982056506</v>
      </c>
      <c r="I15" s="10" t="n">
        <v>17.42210515616097</v>
      </c>
      <c r="J15" s="10" t="n">
        <v>23.16806681781878</v>
      </c>
      <c r="K15" s="10" t="n">
        <v>47.98080272227045</v>
      </c>
      <c r="L15" s="10" t="n">
        <v>23.17260042152472</v>
      </c>
      <c r="M15" s="10" t="n">
        <v>10.80712945833712</v>
      </c>
      <c r="O15" s="2" t="n"/>
      <c r="Q15" s="18" t="inlineStr">
        <is>
          <t>…</t>
        </is>
      </c>
    </row>
    <row r="16" outlineLevel="1">
      <c r="C16" s="6" t="inlineStr">
        <is>
          <t>USA</t>
        </is>
      </c>
      <c r="D16" s="10" t="n">
        <v>56.41795650463644</v>
      </c>
      <c r="E16" s="10" t="n">
        <v>83.82888028557116</v>
      </c>
      <c r="F16" s="10" t="n">
        <v>83.92359621287366</v>
      </c>
      <c r="G16" s="10" t="n">
        <v>34.10311299425639</v>
      </c>
      <c r="H16" s="10" t="n">
        <v>90.57988322772999</v>
      </c>
      <c r="I16" s="10" t="n">
        <v>81.73236698970601</v>
      </c>
      <c r="J16" s="10" t="n">
        <v>74.02343870465066</v>
      </c>
      <c r="K16" s="10" t="n">
        <v>21.02907648904221</v>
      </c>
      <c r="L16" s="10" t="n">
        <v>44.86757571659516</v>
      </c>
      <c r="M16" s="10" t="n">
        <v>21.25314564865062</v>
      </c>
      <c r="O16" s="2" t="n"/>
      <c r="Q16" s="18" t="inlineStr">
        <is>
          <t>…</t>
        </is>
      </c>
    </row>
    <row r="17">
      <c r="C17" s="13" t="inlineStr">
        <is>
          <t>Total</t>
        </is>
      </c>
      <c r="D17" s="14">
        <f>SUM(D10:D16)</f>
        <v/>
      </c>
      <c r="E17" s="14">
        <f>SUM(E10:E16)</f>
        <v/>
      </c>
      <c r="F17" s="14">
        <f>SUM(F10:F16)</f>
        <v/>
      </c>
      <c r="G17" s="14">
        <f>SUM(G10:G16)</f>
        <v/>
      </c>
      <c r="H17" s="14">
        <f>SUM(H10:H16)</f>
        <v/>
      </c>
      <c r="I17" s="14">
        <f>SUM(I10:I16)</f>
        <v/>
      </c>
      <c r="J17" s="14">
        <f>SUM(J10:J16)</f>
        <v/>
      </c>
      <c r="K17" s="14">
        <f>SUM(K10:K16)</f>
        <v/>
      </c>
      <c r="L17" s="14">
        <f>SUM(L10:L16)</f>
        <v/>
      </c>
      <c r="M17" s="14">
        <f>SUM(M10:M16)</f>
        <v/>
      </c>
      <c r="O17" s="2" t="n"/>
    </row>
    <row r="18">
      <c r="O18" s="2" t="n"/>
    </row>
    <row r="19">
      <c r="C19" s="5" t="inlineStr">
        <is>
          <t>Avg Preis je Achse</t>
        </is>
      </c>
      <c r="O19" s="2" t="n"/>
    </row>
    <row r="20">
      <c r="C20" s="7" t="inlineStr">
        <is>
          <t>Nato-Märkte</t>
        </is>
      </c>
      <c r="D20" s="16" t="inlineStr">
        <is>
          <t>Trailertyp 1</t>
        </is>
      </c>
      <c r="E20" s="16" t="inlineStr">
        <is>
          <t>Trailertyp 2</t>
        </is>
      </c>
      <c r="F20" s="16" t="inlineStr">
        <is>
          <t>Trailertyp 3</t>
        </is>
      </c>
      <c r="G20" s="16" t="inlineStr">
        <is>
          <t>Trailertyp 4</t>
        </is>
      </c>
      <c r="H20" s="16" t="inlineStr">
        <is>
          <t>Trailertyp 5</t>
        </is>
      </c>
      <c r="I20" s="16" t="inlineStr">
        <is>
          <t>Trailertyp 6</t>
        </is>
      </c>
      <c r="J20" s="16" t="inlineStr">
        <is>
          <t>Trailertyp 7</t>
        </is>
      </c>
      <c r="K20" s="16" t="inlineStr">
        <is>
          <t>Trailertyp 8</t>
        </is>
      </c>
      <c r="L20" s="16" t="inlineStr">
        <is>
          <t>Trailertyp 9</t>
        </is>
      </c>
      <c r="M20" s="16" t="inlineStr">
        <is>
          <t>Trailertyp 10</t>
        </is>
      </c>
      <c r="O20" s="2" t="n"/>
    </row>
    <row r="21" outlineLevel="1">
      <c r="C21" s="6" t="inlineStr">
        <is>
          <t>GER</t>
        </is>
      </c>
      <c r="D21" s="10" t="n">
        <v>3000</v>
      </c>
      <c r="E21" s="10" t="n">
        <v>3000</v>
      </c>
      <c r="F21" s="10" t="n">
        <v>3000</v>
      </c>
      <c r="G21" s="10" t="n">
        <v>3000</v>
      </c>
      <c r="H21" s="10" t="n">
        <v>2000</v>
      </c>
      <c r="I21" s="10" t="n">
        <v>2000</v>
      </c>
      <c r="J21" s="10" t="n">
        <v>2000</v>
      </c>
      <c r="K21" s="10" t="n">
        <v>2000</v>
      </c>
      <c r="L21" s="10" t="n">
        <v>1000</v>
      </c>
      <c r="M21" s="10" t="n">
        <v>1000</v>
      </c>
      <c r="O21" s="2" t="n"/>
      <c r="Q21" s="18" t="inlineStr">
        <is>
          <t>…</t>
        </is>
      </c>
    </row>
    <row r="22" outlineLevel="1">
      <c r="C22" s="6" t="inlineStr">
        <is>
          <t>UK</t>
        </is>
      </c>
      <c r="D22" s="10" t="n">
        <v>3000</v>
      </c>
      <c r="E22" s="10" t="n">
        <v>3000</v>
      </c>
      <c r="F22" s="10" t="n">
        <v>3000</v>
      </c>
      <c r="G22" s="10" t="n">
        <v>3000</v>
      </c>
      <c r="H22" s="10" t="n">
        <v>2000</v>
      </c>
      <c r="I22" s="10" t="n">
        <v>2000</v>
      </c>
      <c r="J22" s="10" t="n">
        <v>2000</v>
      </c>
      <c r="K22" s="10" t="n">
        <v>2000</v>
      </c>
      <c r="L22" s="10" t="n">
        <v>1000</v>
      </c>
      <c r="M22" s="10" t="n">
        <v>1000</v>
      </c>
      <c r="O22" s="2" t="n"/>
      <c r="Q22" s="18" t="inlineStr">
        <is>
          <t>…</t>
        </is>
      </c>
    </row>
    <row r="23" outlineLevel="1">
      <c r="C23" s="6" t="inlineStr">
        <is>
          <t>Italien</t>
        </is>
      </c>
      <c r="D23" s="10" t="n">
        <v>3000</v>
      </c>
      <c r="E23" s="10" t="n">
        <v>3000</v>
      </c>
      <c r="F23" s="10" t="n">
        <v>3000</v>
      </c>
      <c r="G23" s="10" t="n">
        <v>3000</v>
      </c>
      <c r="H23" s="10" t="n">
        <v>2000</v>
      </c>
      <c r="I23" s="10" t="n">
        <v>2000</v>
      </c>
      <c r="J23" s="10" t="n">
        <v>2000</v>
      </c>
      <c r="K23" s="10" t="n">
        <v>2000</v>
      </c>
      <c r="L23" s="10" t="n">
        <v>1000</v>
      </c>
      <c r="M23" s="10" t="n">
        <v>1000</v>
      </c>
      <c r="O23" s="2" t="n"/>
      <c r="Q23" s="18" t="inlineStr">
        <is>
          <t>…</t>
        </is>
      </c>
    </row>
    <row r="24" outlineLevel="1">
      <c r="C24" s="6" t="inlineStr">
        <is>
          <t>Frankreich</t>
        </is>
      </c>
      <c r="D24" s="10" t="n">
        <v>3000</v>
      </c>
      <c r="E24" s="10" t="n">
        <v>3000</v>
      </c>
      <c r="F24" s="10" t="n">
        <v>3000</v>
      </c>
      <c r="G24" s="10" t="n">
        <v>3000</v>
      </c>
      <c r="H24" s="10" t="n">
        <v>2000</v>
      </c>
      <c r="I24" s="10" t="n">
        <v>2000</v>
      </c>
      <c r="J24" s="10" t="n">
        <v>2000</v>
      </c>
      <c r="K24" s="10" t="n">
        <v>2000</v>
      </c>
      <c r="L24" s="10" t="n">
        <v>1000</v>
      </c>
      <c r="M24" s="10" t="n">
        <v>1000</v>
      </c>
      <c r="O24" s="2" t="n"/>
      <c r="Q24" s="18" t="inlineStr">
        <is>
          <t>…</t>
        </is>
      </c>
    </row>
    <row r="25" outlineLevel="1">
      <c r="C25" s="6" t="inlineStr">
        <is>
          <t>Spanien</t>
        </is>
      </c>
      <c r="D25" s="10" t="n">
        <v>3000</v>
      </c>
      <c r="E25" s="10" t="n">
        <v>3000</v>
      </c>
      <c r="F25" s="10" t="n">
        <v>3000</v>
      </c>
      <c r="G25" s="10" t="n">
        <v>3000</v>
      </c>
      <c r="H25" s="10" t="n">
        <v>2000</v>
      </c>
      <c r="I25" s="10" t="n">
        <v>2000</v>
      </c>
      <c r="J25" s="10" t="n">
        <v>2000</v>
      </c>
      <c r="K25" s="10" t="n">
        <v>2000</v>
      </c>
      <c r="L25" s="10" t="n">
        <v>1000</v>
      </c>
      <c r="M25" s="10" t="n">
        <v>1000</v>
      </c>
      <c r="O25" s="2" t="n"/>
      <c r="Q25" s="18" t="inlineStr">
        <is>
          <t>…</t>
        </is>
      </c>
    </row>
    <row r="26" outlineLevel="1">
      <c r="C26" s="6" t="inlineStr">
        <is>
          <t>EU-27</t>
        </is>
      </c>
      <c r="D26" s="10" t="n">
        <v>3000</v>
      </c>
      <c r="E26" s="10" t="n">
        <v>3000</v>
      </c>
      <c r="F26" s="10" t="n">
        <v>3000</v>
      </c>
      <c r="G26" s="10" t="n">
        <v>3000</v>
      </c>
      <c r="H26" s="10" t="n">
        <v>2000</v>
      </c>
      <c r="I26" s="10" t="n">
        <v>2000</v>
      </c>
      <c r="J26" s="10" t="n">
        <v>2000</v>
      </c>
      <c r="K26" s="10" t="n">
        <v>2000</v>
      </c>
      <c r="L26" s="10" t="n">
        <v>1000</v>
      </c>
      <c r="M26" s="10" t="n">
        <v>1000</v>
      </c>
      <c r="O26" s="2" t="n"/>
      <c r="Q26" s="18" t="inlineStr">
        <is>
          <t>…</t>
        </is>
      </c>
    </row>
    <row r="27" outlineLevel="1">
      <c r="C27" s="6" t="inlineStr">
        <is>
          <t>USA</t>
        </is>
      </c>
      <c r="D27" s="10" t="n">
        <v>3000</v>
      </c>
      <c r="E27" s="10" t="n">
        <v>3000</v>
      </c>
      <c r="F27" s="10" t="n">
        <v>3000</v>
      </c>
      <c r="G27" s="10" t="n">
        <v>3000</v>
      </c>
      <c r="H27" s="10" t="n">
        <v>2000</v>
      </c>
      <c r="I27" s="10" t="n">
        <v>2000</v>
      </c>
      <c r="J27" s="10" t="n">
        <v>2000</v>
      </c>
      <c r="K27" s="10" t="n">
        <v>2000</v>
      </c>
      <c r="L27" s="10" t="n">
        <v>1000</v>
      </c>
      <c r="M27" s="10" t="n">
        <v>1000</v>
      </c>
      <c r="O27" s="2" t="n"/>
      <c r="Q27" s="18" t="inlineStr">
        <is>
          <t>…</t>
        </is>
      </c>
    </row>
    <row r="28">
      <c r="O28" s="2" t="n"/>
    </row>
    <row r="29">
      <c r="C29" s="5" t="inlineStr">
        <is>
          <t># Achsen</t>
        </is>
      </c>
      <c r="O29" s="2" t="n"/>
    </row>
    <row r="30">
      <c r="C30" s="7" t="inlineStr">
        <is>
          <t>Nato-Märkte</t>
        </is>
      </c>
      <c r="D30" s="16" t="inlineStr">
        <is>
          <t>Trailertyp 1</t>
        </is>
      </c>
      <c r="E30" s="16" t="inlineStr">
        <is>
          <t>Trailertyp 2</t>
        </is>
      </c>
      <c r="F30" s="16" t="inlineStr">
        <is>
          <t>Trailertyp 3</t>
        </is>
      </c>
      <c r="G30" s="16" t="inlineStr">
        <is>
          <t>Trailertyp 4</t>
        </is>
      </c>
      <c r="H30" s="16" t="inlineStr">
        <is>
          <t>Trailertyp 5</t>
        </is>
      </c>
      <c r="I30" s="16" t="inlineStr">
        <is>
          <t>Trailertyp 6</t>
        </is>
      </c>
      <c r="J30" s="16" t="inlineStr">
        <is>
          <t>Trailertyp 7</t>
        </is>
      </c>
      <c r="K30" s="16" t="inlineStr">
        <is>
          <t>Trailertyp 8</t>
        </is>
      </c>
      <c r="L30" s="16" t="inlineStr">
        <is>
          <t>Trailertyp 9</t>
        </is>
      </c>
      <c r="M30" s="16" t="inlineStr">
        <is>
          <t>Trailertyp 10</t>
        </is>
      </c>
      <c r="O30" s="2" t="n"/>
    </row>
    <row r="31">
      <c r="C31" s="7" t="n"/>
      <c r="D31" s="8" t="n">
        <v>4</v>
      </c>
      <c r="E31" s="8" t="n">
        <v>4</v>
      </c>
      <c r="F31" s="8" t="n">
        <v>4</v>
      </c>
      <c r="G31" s="8" t="n">
        <v>4</v>
      </c>
      <c r="H31" s="8" t="n">
        <v>4</v>
      </c>
      <c r="I31" s="8" t="n">
        <v>4</v>
      </c>
      <c r="J31" s="8" t="n">
        <v>2</v>
      </c>
      <c r="K31" s="8" t="n">
        <v>2</v>
      </c>
      <c r="L31" s="8" t="n">
        <v>2</v>
      </c>
      <c r="M31" s="8" t="n">
        <v>1</v>
      </c>
      <c r="O31" s="2" t="n"/>
      <c r="Q31" s="18" t="inlineStr">
        <is>
          <t>…</t>
        </is>
      </c>
    </row>
    <row r="32">
      <c r="O32" s="2" t="n"/>
    </row>
    <row r="33">
      <c r="C33" s="5" t="inlineStr">
        <is>
          <t>Marktanteil in %</t>
        </is>
      </c>
      <c r="O33" s="2" t="n"/>
    </row>
    <row r="34">
      <c r="C34" s="7" t="inlineStr">
        <is>
          <t>Nato-Märkte</t>
        </is>
      </c>
      <c r="D34" s="16" t="inlineStr">
        <is>
          <t>Trailertyp 1</t>
        </is>
      </c>
      <c r="E34" s="16" t="inlineStr">
        <is>
          <t>Trailertyp 2</t>
        </is>
      </c>
      <c r="F34" s="16" t="inlineStr">
        <is>
          <t>Trailertyp 3</t>
        </is>
      </c>
      <c r="G34" s="16" t="inlineStr">
        <is>
          <t>Trailertyp 4</t>
        </is>
      </c>
      <c r="H34" s="16" t="inlineStr">
        <is>
          <t>Trailertyp 5</t>
        </is>
      </c>
      <c r="I34" s="16" t="inlineStr">
        <is>
          <t>Trailertyp 6</t>
        </is>
      </c>
      <c r="J34" s="16" t="inlineStr">
        <is>
          <t>Trailertyp 7</t>
        </is>
      </c>
      <c r="K34" s="16" t="inlineStr">
        <is>
          <t>Trailertyp 8</t>
        </is>
      </c>
      <c r="L34" s="16" t="inlineStr">
        <is>
          <t>Trailertyp 9</t>
        </is>
      </c>
      <c r="M34" s="16" t="inlineStr">
        <is>
          <t>Trailertyp 10</t>
        </is>
      </c>
      <c r="O34" s="2" t="n"/>
    </row>
    <row r="35" outlineLevel="1">
      <c r="C35" s="6" t="inlineStr">
        <is>
          <t>GER</t>
        </is>
      </c>
      <c r="D35" s="9" t="n">
        <v>0.1</v>
      </c>
      <c r="E35" s="9" t="n">
        <v>0.1</v>
      </c>
      <c r="F35" s="9" t="n">
        <v>0.1</v>
      </c>
      <c r="G35" s="9" t="n">
        <v>0.1</v>
      </c>
      <c r="H35" s="9" t="n">
        <v>0.1</v>
      </c>
      <c r="I35" s="9" t="n">
        <v>0.1</v>
      </c>
      <c r="J35" s="9" t="n">
        <v>0.1</v>
      </c>
      <c r="K35" s="9" t="n">
        <v>0.1</v>
      </c>
      <c r="L35" s="9" t="n">
        <v>0.1</v>
      </c>
      <c r="M35" s="9" t="n">
        <v>0.1</v>
      </c>
      <c r="O35" s="2" t="n"/>
      <c r="Q35" s="18" t="inlineStr">
        <is>
          <t>…</t>
        </is>
      </c>
    </row>
    <row r="36" outlineLevel="1">
      <c r="C36" s="6" t="inlineStr">
        <is>
          <t>UK</t>
        </is>
      </c>
      <c r="D36" s="9" t="n">
        <v>0.1</v>
      </c>
      <c r="E36" s="9" t="n">
        <v>0.1</v>
      </c>
      <c r="F36" s="9" t="n">
        <v>0.1</v>
      </c>
      <c r="G36" s="9" t="n">
        <v>0.1</v>
      </c>
      <c r="H36" s="9" t="n">
        <v>0.1</v>
      </c>
      <c r="I36" s="9" t="n">
        <v>0.1</v>
      </c>
      <c r="J36" s="9" t="n">
        <v>0.1</v>
      </c>
      <c r="K36" s="9" t="n">
        <v>0.1</v>
      </c>
      <c r="L36" s="9" t="n">
        <v>0.1</v>
      </c>
      <c r="M36" s="9" t="n">
        <v>0.1</v>
      </c>
      <c r="O36" s="2" t="n"/>
      <c r="Q36" s="18" t="inlineStr">
        <is>
          <t>…</t>
        </is>
      </c>
    </row>
    <row r="37" outlineLevel="1">
      <c r="C37" s="6" t="inlineStr">
        <is>
          <t>Italien</t>
        </is>
      </c>
      <c r="D37" s="9" t="n">
        <v>0.1</v>
      </c>
      <c r="E37" s="9" t="n">
        <v>0.1</v>
      </c>
      <c r="F37" s="9" t="n">
        <v>0.1</v>
      </c>
      <c r="G37" s="9" t="n">
        <v>0.1</v>
      </c>
      <c r="H37" s="9" t="n">
        <v>0.1</v>
      </c>
      <c r="I37" s="9" t="n">
        <v>0.1</v>
      </c>
      <c r="J37" s="9" t="n">
        <v>0.1</v>
      </c>
      <c r="K37" s="9" t="n">
        <v>0.1</v>
      </c>
      <c r="L37" s="9" t="n">
        <v>0.1</v>
      </c>
      <c r="M37" s="9" t="n">
        <v>0.1</v>
      </c>
      <c r="O37" s="2" t="n"/>
      <c r="Q37" s="18" t="inlineStr">
        <is>
          <t>…</t>
        </is>
      </c>
    </row>
    <row r="38" outlineLevel="1">
      <c r="C38" s="6" t="inlineStr">
        <is>
          <t>Frankreich</t>
        </is>
      </c>
      <c r="D38" s="9" t="n">
        <v>0.1</v>
      </c>
      <c r="E38" s="9" t="n">
        <v>0.1</v>
      </c>
      <c r="F38" s="9" t="n">
        <v>0.1</v>
      </c>
      <c r="G38" s="9" t="n">
        <v>0.1</v>
      </c>
      <c r="H38" s="9" t="n">
        <v>0.1</v>
      </c>
      <c r="I38" s="9" t="n">
        <v>0.1</v>
      </c>
      <c r="J38" s="9" t="n">
        <v>0.1</v>
      </c>
      <c r="K38" s="9" t="n">
        <v>0.1</v>
      </c>
      <c r="L38" s="9" t="n">
        <v>0.1</v>
      </c>
      <c r="M38" s="9" t="n">
        <v>0.1</v>
      </c>
      <c r="O38" s="2" t="n"/>
      <c r="Q38" s="18" t="inlineStr">
        <is>
          <t>…</t>
        </is>
      </c>
    </row>
    <row r="39" outlineLevel="1">
      <c r="C39" s="6" t="inlineStr">
        <is>
          <t>Spanien</t>
        </is>
      </c>
      <c r="D39" s="9" t="n">
        <v>0.1</v>
      </c>
      <c r="E39" s="9" t="n">
        <v>0.1</v>
      </c>
      <c r="F39" s="9" t="n">
        <v>0.1</v>
      </c>
      <c r="G39" s="9" t="n">
        <v>0.1</v>
      </c>
      <c r="H39" s="9" t="n">
        <v>0.1</v>
      </c>
      <c r="I39" s="9" t="n">
        <v>0.1</v>
      </c>
      <c r="J39" s="9" t="n">
        <v>0.1</v>
      </c>
      <c r="K39" s="9" t="n">
        <v>0.1</v>
      </c>
      <c r="L39" s="9" t="n">
        <v>0.1</v>
      </c>
      <c r="M39" s="9" t="n">
        <v>0.1</v>
      </c>
      <c r="O39" s="2" t="n"/>
      <c r="Q39" s="18" t="inlineStr">
        <is>
          <t>…</t>
        </is>
      </c>
    </row>
    <row r="40" outlineLevel="1">
      <c r="C40" s="6" t="inlineStr">
        <is>
          <t>EU-27</t>
        </is>
      </c>
      <c r="D40" s="9" t="n">
        <v>0.1</v>
      </c>
      <c r="E40" s="9" t="n">
        <v>0.1</v>
      </c>
      <c r="F40" s="9" t="n">
        <v>0.1</v>
      </c>
      <c r="G40" s="9" t="n">
        <v>0.1</v>
      </c>
      <c r="H40" s="9" t="n">
        <v>0.1</v>
      </c>
      <c r="I40" s="9" t="n">
        <v>0.1</v>
      </c>
      <c r="J40" s="9" t="n">
        <v>0.1</v>
      </c>
      <c r="K40" s="9" t="n">
        <v>0.1</v>
      </c>
      <c r="L40" s="9" t="n">
        <v>0.1</v>
      </c>
      <c r="M40" s="9" t="n">
        <v>0.1</v>
      </c>
      <c r="O40" s="2" t="n"/>
      <c r="Q40" s="18" t="inlineStr">
        <is>
          <t>…</t>
        </is>
      </c>
    </row>
    <row r="41" outlineLevel="1">
      <c r="C41" s="6" t="inlineStr">
        <is>
          <t>USA</t>
        </is>
      </c>
      <c r="D41" s="9" t="n">
        <v>0.1</v>
      </c>
      <c r="E41" s="9" t="n">
        <v>0.1</v>
      </c>
      <c r="F41" s="9" t="n">
        <v>0.1</v>
      </c>
      <c r="G41" s="9" t="n">
        <v>0.1</v>
      </c>
      <c r="H41" s="9" t="n">
        <v>0.1</v>
      </c>
      <c r="I41" s="9" t="n">
        <v>0.1</v>
      </c>
      <c r="J41" s="9" t="n">
        <v>0.1</v>
      </c>
      <c r="K41" s="9" t="n">
        <v>0.1</v>
      </c>
      <c r="L41" s="9" t="n">
        <v>0.1</v>
      </c>
      <c r="M41" s="9" t="n">
        <v>0.1</v>
      </c>
      <c r="O41" s="2" t="n"/>
      <c r="Q41" s="18" t="inlineStr">
        <is>
          <t>…</t>
        </is>
      </c>
    </row>
    <row r="42">
      <c r="O42" s="2" t="n"/>
    </row>
    <row r="43">
      <c r="C43" s="5" t="inlineStr">
        <is>
          <t>Marktgröße in kEUR</t>
        </is>
      </c>
      <c r="O43" s="2" t="n"/>
    </row>
    <row r="44">
      <c r="C44" s="7" t="inlineStr">
        <is>
          <t>Nato-Märkte</t>
        </is>
      </c>
      <c r="D44" s="16" t="inlineStr">
        <is>
          <t>Trailertyp 1</t>
        </is>
      </c>
      <c r="E44" s="16" t="inlineStr">
        <is>
          <t>Trailertyp 2</t>
        </is>
      </c>
      <c r="F44" s="16" t="inlineStr">
        <is>
          <t>Trailertyp 3</t>
        </is>
      </c>
      <c r="G44" s="16" t="inlineStr">
        <is>
          <t>Trailertyp 4</t>
        </is>
      </c>
      <c r="H44" s="16" t="inlineStr">
        <is>
          <t>Trailertyp 5</t>
        </is>
      </c>
      <c r="I44" s="16" t="inlineStr">
        <is>
          <t>Trailertyp 6</t>
        </is>
      </c>
      <c r="J44" s="16" t="inlineStr">
        <is>
          <t>Trailertyp 7</t>
        </is>
      </c>
      <c r="K44" s="16" t="inlineStr">
        <is>
          <t>Trailertyp 8</t>
        </is>
      </c>
      <c r="L44" s="16" t="inlineStr">
        <is>
          <t>Trailertyp 9</t>
        </is>
      </c>
      <c r="M44" s="16" t="inlineStr">
        <is>
          <t>Trailertyp 10</t>
        </is>
      </c>
      <c r="O44" s="2" t="n"/>
    </row>
    <row r="45" outlineLevel="1">
      <c r="C45" s="6" t="inlineStr">
        <is>
          <t>GER</t>
        </is>
      </c>
      <c r="D45" s="10">
        <f>D10*D21*D$31*MAX(0,D35+$F$5)</f>
        <v/>
      </c>
      <c r="E45" s="10">
        <f>E10*E21*E$31*MAX(0,E35+$F$5)</f>
        <v/>
      </c>
      <c r="F45" s="10">
        <f>F10*F21*F$31*MAX(0,F35+$F$5)</f>
        <v/>
      </c>
      <c r="G45" s="10">
        <f>G10*G21*G$31*MAX(0,G35+$F$5)</f>
        <v/>
      </c>
      <c r="H45" s="10">
        <f>H10*H21*H$31*MAX(0,H35+$F$5)</f>
        <v/>
      </c>
      <c r="I45" s="10">
        <f>I10*I21*I$31*MAX(0,I35+$F$5)</f>
        <v/>
      </c>
      <c r="J45" s="10">
        <f>J10*J21*J$31*MAX(0,J35+$F$5)</f>
        <v/>
      </c>
      <c r="K45" s="10">
        <f>K10*K21*K$31*MAX(0,K35+$F$5)</f>
        <v/>
      </c>
      <c r="L45" s="10">
        <f>L10*L21*L$31*MAX(0,L35+$F$5)</f>
        <v/>
      </c>
      <c r="M45" s="10">
        <f>M10*M21*M$31*MAX(0,M35+$F$5)</f>
        <v/>
      </c>
      <c r="O45" s="2" t="n"/>
      <c r="Q45" s="18" t="inlineStr">
        <is>
          <t>…</t>
        </is>
      </c>
    </row>
    <row r="46" outlineLevel="1">
      <c r="C46" s="6" t="inlineStr">
        <is>
          <t>UK</t>
        </is>
      </c>
      <c r="D46" s="10">
        <f>D11*D22*D$31*MAX(0,D36+$F$5)</f>
        <v/>
      </c>
      <c r="E46" s="10">
        <f>E11*E22*E$31*MAX(0,E36+$F$5)</f>
        <v/>
      </c>
      <c r="F46" s="10">
        <f>F11*F22*F$31*MAX(0,F36+$F$5)</f>
        <v/>
      </c>
      <c r="G46" s="10">
        <f>G11*G22*G$31*MAX(0,G36+$F$5)</f>
        <v/>
      </c>
      <c r="H46" s="10">
        <f>H11*H22*H$31*MAX(0,H36+$F$5)</f>
        <v/>
      </c>
      <c r="I46" s="10">
        <f>I11*I22*I$31*MAX(0,I36+$F$5)</f>
        <v/>
      </c>
      <c r="J46" s="10">
        <f>J11*J22*J$31*MAX(0,J36+$F$5)</f>
        <v/>
      </c>
      <c r="K46" s="10">
        <f>K11*K22*K$31*MAX(0,K36+$F$5)</f>
        <v/>
      </c>
      <c r="L46" s="10">
        <f>L11*L22*L$31*MAX(0,L36+$F$5)</f>
        <v/>
      </c>
      <c r="M46" s="10">
        <f>M11*M22*M$31*MAX(0,M36+$F$5)</f>
        <v/>
      </c>
      <c r="O46" s="2" t="n"/>
      <c r="Q46" s="18" t="inlineStr">
        <is>
          <t>…</t>
        </is>
      </c>
    </row>
    <row r="47" outlineLevel="1">
      <c r="C47" s="6" t="inlineStr">
        <is>
          <t>Italien</t>
        </is>
      </c>
      <c r="D47" s="10">
        <f>D12*D23*D$31*MAX(0,D37+$F$5)</f>
        <v/>
      </c>
      <c r="E47" s="10">
        <f>E12*E23*E$31*MAX(0,E37+$F$5)</f>
        <v/>
      </c>
      <c r="F47" s="10">
        <f>F12*F23*F$31*MAX(0,F37+$F$5)</f>
        <v/>
      </c>
      <c r="G47" s="10">
        <f>G12*G23*G$31*MAX(0,G37+$F$5)</f>
        <v/>
      </c>
      <c r="H47" s="10">
        <f>H12*H23*H$31*MAX(0,H37+$F$5)</f>
        <v/>
      </c>
      <c r="I47" s="10">
        <f>I12*I23*I$31*MAX(0,I37+$F$5)</f>
        <v/>
      </c>
      <c r="J47" s="10">
        <f>J12*J23*J$31*MAX(0,J37+$F$5)</f>
        <v/>
      </c>
      <c r="K47" s="10">
        <f>K12*K23*K$31*MAX(0,K37+$F$5)</f>
        <v/>
      </c>
      <c r="L47" s="10">
        <f>L12*L23*L$31*MAX(0,L37+$F$5)</f>
        <v/>
      </c>
      <c r="M47" s="10">
        <f>M12*M23*M$31*MAX(0,M37+$F$5)</f>
        <v/>
      </c>
      <c r="O47" s="2" t="n"/>
      <c r="Q47" s="18" t="inlineStr">
        <is>
          <t>…</t>
        </is>
      </c>
    </row>
    <row r="48" outlineLevel="1">
      <c r="C48" s="6" t="inlineStr">
        <is>
          <t>Frankreich</t>
        </is>
      </c>
      <c r="D48" s="10">
        <f>D13*D24*D$31*MAX(0,D38+$F$5)</f>
        <v/>
      </c>
      <c r="E48" s="10">
        <f>E13*E24*E$31*MAX(0,E38+$F$5)</f>
        <v/>
      </c>
      <c r="F48" s="10">
        <f>F13*F24*F$31*MAX(0,F38+$F$5)</f>
        <v/>
      </c>
      <c r="G48" s="10">
        <f>G13*G24*G$31*MAX(0,G38+$F$5)</f>
        <v/>
      </c>
      <c r="H48" s="10">
        <f>H13*H24*H$31*MAX(0,H38+$F$5)</f>
        <v/>
      </c>
      <c r="I48" s="10">
        <f>I13*I24*I$31*MAX(0,I38+$F$5)</f>
        <v/>
      </c>
      <c r="J48" s="10">
        <f>J13*J24*J$31*MAX(0,J38+$F$5)</f>
        <v/>
      </c>
      <c r="K48" s="10">
        <f>K13*K24*K$31*MAX(0,K38+$F$5)</f>
        <v/>
      </c>
      <c r="L48" s="10">
        <f>L13*L24*L$31*MAX(0,L38+$F$5)</f>
        <v/>
      </c>
      <c r="M48" s="10">
        <f>M13*M24*M$31*MAX(0,M38+$F$5)</f>
        <v/>
      </c>
      <c r="O48" s="2" t="n"/>
      <c r="Q48" s="18" t="inlineStr">
        <is>
          <t>…</t>
        </is>
      </c>
    </row>
    <row r="49" outlineLevel="1">
      <c r="C49" s="6" t="inlineStr">
        <is>
          <t>Spanien</t>
        </is>
      </c>
      <c r="D49" s="10">
        <f>D14*D25*D$31*MAX(0,D39+$F$5)</f>
        <v/>
      </c>
      <c r="E49" s="10">
        <f>E14*E25*E$31*MAX(0,E39+$F$5)</f>
        <v/>
      </c>
      <c r="F49" s="10">
        <f>F14*F25*F$31*MAX(0,F39+$F$5)</f>
        <v/>
      </c>
      <c r="G49" s="10">
        <f>G14*G25*G$31*MAX(0,G39+$F$5)</f>
        <v/>
      </c>
      <c r="H49" s="10">
        <f>H14*H25*H$31*MAX(0,H39+$F$5)</f>
        <v/>
      </c>
      <c r="I49" s="10">
        <f>I14*I25*I$31*MAX(0,I39+$F$5)</f>
        <v/>
      </c>
      <c r="J49" s="10">
        <f>J14*J25*J$31*MAX(0,J39+$F$5)</f>
        <v/>
      </c>
      <c r="K49" s="10">
        <f>K14*K25*K$31*MAX(0,K39+$F$5)</f>
        <v/>
      </c>
      <c r="L49" s="10">
        <f>L14*L25*L$31*MAX(0,L39+$F$5)</f>
        <v/>
      </c>
      <c r="M49" s="10">
        <f>M14*M25*M$31*MAX(0,M39+$F$5)</f>
        <v/>
      </c>
      <c r="O49" s="2" t="n"/>
      <c r="Q49" s="18" t="inlineStr">
        <is>
          <t>…</t>
        </is>
      </c>
    </row>
    <row r="50" outlineLevel="1">
      <c r="C50" s="6" t="inlineStr">
        <is>
          <t>EU-27</t>
        </is>
      </c>
      <c r="D50" s="10">
        <f>D15*D26*D$31*MAX(0,D40+$F$5)</f>
        <v/>
      </c>
      <c r="E50" s="10">
        <f>E15*E26*E$31*MAX(0,E40+$F$5)</f>
        <v/>
      </c>
      <c r="F50" s="10">
        <f>F15*F26*F$31*MAX(0,F40+$F$5)</f>
        <v/>
      </c>
      <c r="G50" s="10">
        <f>G15*G26*G$31*MAX(0,G40+$F$5)</f>
        <v/>
      </c>
      <c r="H50" s="10">
        <f>H15*H26*H$31*MAX(0,H40+$F$5)</f>
        <v/>
      </c>
      <c r="I50" s="10">
        <f>I15*I26*I$31*MAX(0,I40+$F$5)</f>
        <v/>
      </c>
      <c r="J50" s="10">
        <f>J15*J26*J$31*MAX(0,J40+$F$5)</f>
        <v/>
      </c>
      <c r="K50" s="10">
        <f>K15*K26*K$31*MAX(0,K40+$F$5)</f>
        <v/>
      </c>
      <c r="L50" s="10">
        <f>L15*L26*L$31*MAX(0,L40+$F$5)</f>
        <v/>
      </c>
      <c r="M50" s="10">
        <f>M15*M26*M$31*MAX(0,M40+$F$5)</f>
        <v/>
      </c>
      <c r="O50" s="2" t="n"/>
      <c r="Q50" s="18" t="inlineStr">
        <is>
          <t>…</t>
        </is>
      </c>
    </row>
    <row r="51" outlineLevel="1">
      <c r="C51" s="6" t="inlineStr">
        <is>
          <t>USA</t>
        </is>
      </c>
      <c r="D51" s="10">
        <f>D16*D27*D$31*MAX(0,D41+$F$5)</f>
        <v/>
      </c>
      <c r="E51" s="10">
        <f>E16*E27*E$31*MAX(0,E41+$F$5)</f>
        <v/>
      </c>
      <c r="F51" s="10">
        <f>F16*F27*F$31*MAX(0,F41+$F$5)</f>
        <v/>
      </c>
      <c r="G51" s="10">
        <f>G16*G27*G$31*MAX(0,G41+$F$5)</f>
        <v/>
      </c>
      <c r="H51" s="10">
        <f>H16*H27*H$31*MAX(0,H41+$F$5)</f>
        <v/>
      </c>
      <c r="I51" s="10">
        <f>I16*I27*I$31*MAX(0,I41+$F$5)</f>
        <v/>
      </c>
      <c r="J51" s="10">
        <f>J16*J27*J$31*MAX(0,J41+$F$5)</f>
        <v/>
      </c>
      <c r="K51" s="10">
        <f>K16*K27*K$31*MAX(0,K41+$F$5)</f>
        <v/>
      </c>
      <c r="L51" s="10">
        <f>L16*L27*L$31*MAX(0,L41+$F$5)</f>
        <v/>
      </c>
      <c r="M51" s="10">
        <f>M16*M27*M$31*MAX(0,M41+$F$5)</f>
        <v/>
      </c>
      <c r="O51" s="2" t="n"/>
      <c r="Q51" s="18" t="inlineStr">
        <is>
          <t>…</t>
        </is>
      </c>
    </row>
    <row r="52">
      <c r="C52" s="13" t="inlineStr">
        <is>
          <t>Total</t>
        </is>
      </c>
      <c r="D52" s="14">
        <f>SUM(D45:D51)</f>
        <v/>
      </c>
      <c r="E52" s="14">
        <f>SUM(E45:E51)</f>
        <v/>
      </c>
      <c r="F52" s="14">
        <f>SUM(F45:F51)</f>
        <v/>
      </c>
      <c r="G52" s="14">
        <f>SUM(G45:G51)</f>
        <v/>
      </c>
      <c r="H52" s="14">
        <f>SUM(H45:H51)</f>
        <v/>
      </c>
      <c r="I52" s="14">
        <f>SUM(I45:I51)</f>
        <v/>
      </c>
      <c r="J52" s="14">
        <f>SUM(J45:J51)</f>
        <v/>
      </c>
      <c r="K52" s="14">
        <f>SUM(K45:K51)</f>
        <v/>
      </c>
      <c r="L52" s="14">
        <f>SUM(L45:L51)</f>
        <v/>
      </c>
      <c r="M52" s="14">
        <f>SUM(M45:M51)</f>
        <v/>
      </c>
      <c r="O52" s="2" t="n"/>
    </row>
    <row r="53" ht="15" customHeight="1" thickBot="1">
      <c r="O53" s="2" t="n"/>
    </row>
    <row r="54" ht="15" customHeight="1" thickBot="1">
      <c r="C54" s="4" t="inlineStr">
        <is>
          <t>Gesamtmarkt</t>
        </is>
      </c>
      <c r="D54" s="15">
        <f>SUM(D52:M52)</f>
        <v/>
      </c>
      <c r="O54" s="2" t="n"/>
    </row>
  </sheetData>
  <dataValidations disablePrompts="1" count="1">
    <dataValidation sqref="D5" showDropDown="0" showInputMessage="1" showErrorMessage="1" allowBlank="1" type="list">
      <formula1>"Agressive,Base Case,Conservative"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tabSelected="1" zoomScale="130" zoomScaleNormal="130" workbookViewId="0">
      <selection activeCell="B1" sqref="B1"/>
    </sheetView>
  </sheetViews>
  <sheetFormatPr baseColWidth="8" defaultRowHeight="14.4"/>
  <cols>
    <col width="3" customWidth="1" min="1" max="1"/>
    <col width="16" customWidth="1" min="2" max="2"/>
    <col width="55" customWidth="1" min="3" max="3"/>
    <col width="14" customWidth="1" min="4" max="4"/>
    <col width="35" customWidth="1" min="5" max="5"/>
    <col width="16" customWidth="1" min="6" max="6"/>
    <col width="12" customWidth="1" min="7" max="7"/>
    <col width="10" customWidth="1" min="8" max="8"/>
    <col width="18" customWidth="1" min="9" max="9"/>
    <col width="35" customWidth="1" min="10" max="10"/>
    <col width="18" customWidth="1" min="11" max="11"/>
    <col width="14" customWidth="1" min="12" max="12"/>
    <col width="35" customWidth="1" min="13" max="13"/>
    <col width="14" customWidth="1" min="14" max="14"/>
    <col width="16" customWidth="1" min="15" max="15"/>
    <col width="30" customWidth="1" min="16" max="16"/>
    <col width="45" customWidth="1" min="17" max="17"/>
    <col width="65" customWidth="1" min="18" max="18"/>
  </cols>
  <sheetData>
    <row r="1">
      <c r="A1" s="19" t="n"/>
      <c r="B1" s="19" t="n"/>
      <c r="C1" s="19" t="n"/>
      <c r="D1" s="19" t="n"/>
      <c r="E1" s="19" t="n"/>
      <c r="F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</row>
    <row r="2">
      <c r="A2" s="19" t="n"/>
      <c r="B2" s="21" t="inlineStr">
        <is>
          <t>BPW Defense | Tender Portals</t>
        </is>
      </c>
      <c r="C2" s="21" t="n"/>
      <c r="D2" s="21" t="n"/>
      <c r="E2" s="21" t="n"/>
      <c r="F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19" t="n"/>
      <c r="U2" s="19" t="n"/>
      <c r="V2" s="19" t="n"/>
      <c r="W2" s="19" t="n"/>
      <c r="X2" s="19" t="n"/>
      <c r="Y2" s="19" t="n"/>
    </row>
    <row r="3">
      <c r="A3" s="19" t="n"/>
      <c r="B3" s="19" t="n"/>
      <c r="C3" s="19" t="n"/>
      <c r="D3" s="19" t="n"/>
      <c r="E3" s="19" t="n"/>
      <c r="F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</row>
    <row r="4" ht="34.95" customHeight="1">
      <c r="A4" s="19" t="n"/>
      <c r="B4" s="20" t="inlineStr">
        <is>
          <t>Tender ID</t>
        </is>
      </c>
      <c r="C4" s="20" t="inlineStr">
        <is>
          <t>Title</t>
        </is>
      </c>
      <c r="D4" s="20" t="inlineStr">
        <is>
          <t>Country</t>
        </is>
      </c>
      <c r="E4" s="20" t="inlineStr">
        <is>
          <t>Authority</t>
        </is>
      </c>
      <c r="F4" s="20" t="inlineStr">
        <is>
          <t>Publication Date</t>
        </is>
      </c>
      <c r="G4" s="22" t="inlineStr">
        <is>
          <t>Status</t>
        </is>
      </c>
      <c r="H4" s="20" t="inlineStr">
        <is>
          <t>Est. Value</t>
        </is>
      </c>
      <c r="I4" s="20" t="inlineStr">
        <is>
          <t>Currency</t>
        </is>
      </c>
      <c r="J4" s="20" t="inlineStr">
        <is>
          <t>Est. Value (EUR)</t>
        </is>
      </c>
      <c r="K4" s="20" t="inlineStr">
        <is>
          <t>Trailer Type</t>
        </is>
      </c>
      <c r="L4" s="20" t="inlineStr">
        <is>
          <t>Trailer Category</t>
        </is>
      </c>
      <c r="M4" s="20" t="inlineStr">
        <is>
          <t>Trailer Quantity</t>
        </is>
      </c>
      <c r="N4" s="20" t="inlineStr">
        <is>
          <t>Additional Equipment</t>
        </is>
      </c>
      <c r="O4" s="20" t="inlineStr">
        <is>
          <t>Additional Qty</t>
        </is>
      </c>
      <c r="P4" s="20" t="inlineStr">
        <is>
          <t>Contract Duration</t>
        </is>
      </c>
      <c r="Q4" s="20" t="inlineStr">
        <is>
          <t>Winner</t>
        </is>
      </c>
      <c r="R4" s="20" t="inlineStr">
        <is>
          <t>TED URL</t>
        </is>
      </c>
      <c r="S4" s="20" t="inlineStr">
        <is>
          <t>Description</t>
        </is>
      </c>
      <c r="T4" s="19" t="n"/>
      <c r="U4" s="19" t="n"/>
      <c r="V4" s="19" t="n"/>
      <c r="W4" s="19" t="n"/>
      <c r="X4" s="19" t="n"/>
      <c r="Y4" s="19" t="n"/>
    </row>
    <row r="5">
      <c r="A5" s="19" t="n"/>
      <c r="B5" s="19" t="n"/>
      <c r="C5" s="19" t="n"/>
      <c r="D5" s="19" t="n"/>
      <c r="E5" s="19" t="n"/>
      <c r="F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</row>
    <row r="6">
      <c r="A6" s="19" t="n"/>
      <c r="B6" s="19" t="n"/>
      <c r="C6" s="19" t="n"/>
      <c r="D6" s="19" t="n"/>
      <c r="E6" s="19" t="n"/>
      <c r="F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</row>
    <row r="7">
      <c r="A7" s="19" t="n"/>
      <c r="B7" s="19" t="n"/>
      <c r="C7" s="19" t="n"/>
      <c r="D7" s="19" t="n"/>
      <c r="E7" s="19" t="n"/>
      <c r="F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</row>
    <row r="8">
      <c r="A8" s="19" t="n"/>
      <c r="B8" s="19" t="n"/>
      <c r="C8" s="19" t="n"/>
      <c r="D8" s="19" t="n"/>
      <c r="E8" s="19" t="n"/>
      <c r="F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</row>
    <row r="9">
      <c r="A9" s="19" t="n"/>
      <c r="B9" s="19" t="n"/>
      <c r="C9" s="19" t="n"/>
      <c r="D9" s="19" t="n"/>
      <c r="E9" s="19" t="n"/>
      <c r="F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</sheetData>
  <autoFilter ref="B4:R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Maximilian Rosenfeld</dc:creator>
  <dcterms:created xmlns:dcterms="http://purl.org/dc/terms/" xmlns:xsi="http://www.w3.org/2001/XMLSchema-instance" xsi:type="dcterms:W3CDTF">2026-04-07T14:29:04Z</dcterms:created>
  <dcterms:modified xmlns:dcterms="http://purl.org/dc/terms/" xmlns:xsi="http://www.w3.org/2001/XMLSchema-instance" xsi:type="dcterms:W3CDTF">2026-04-17T09:43:53Z</dcterms:modified>
  <cp:lastModifiedBy>Nils Heinrich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0x01010094D87464AAD89941A2CE8542117AE457</vt:lpwstr>
  </property>
</Properties>
</file>