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75" yWindow="-21720" windowWidth="51840" windowHeight="21120" tabRatio="600" firstSheet="1" activeTab="1" autoFilterDateGrouping="1"/>
  </bookViews>
  <sheets>
    <sheet xmlns:r="http://schemas.openxmlformats.org/officeDocument/2006/relationships" name="Market Sizing" sheetId="1" state="hidden" r:id="rId1"/>
    <sheet xmlns:r="http://schemas.openxmlformats.org/officeDocument/2006/relationships" name="Scraper Data" sheetId="2" state="visible" r:id="rId2"/>
  </sheets>
  <definedNames>
    <definedName name="_xlnm._FilterDatabase" localSheetId="1" hidden="1">'Scraper Data'!$B$4:$X$224</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14">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i val="1"/>
      <color theme="1"/>
      <sz val="11"/>
      <scheme val="minor"/>
    </font>
    <font>
      <name val="Aptos Narrow"/>
      <family val="2"/>
      <i val="1"/>
      <color theme="1" tint="0.499984740745262"/>
      <sz val="11"/>
      <scheme val="minor"/>
    </font>
    <font>
      <name val="Aptos Narrow"/>
      <family val="2"/>
      <color rgb="FF0070C0"/>
      <sz val="11"/>
      <scheme val="minor"/>
    </font>
    <font>
      <name val="Aptos Narrow"/>
      <family val="2"/>
      <color theme="1" tint="0.499984740745262"/>
      <sz val="11"/>
      <scheme val="minor"/>
    </font>
    <font>
      <name val="Arial"/>
      <family val="2"/>
      <color theme="1"/>
      <sz val="10"/>
    </font>
    <font>
      <name val="Calibri"/>
      <charset val="1"/>
      <family val="2"/>
      <color theme="1"/>
      <sz val="11"/>
    </font>
    <font>
      <name val="Aptos Narrow"/>
      <sz val="11"/>
    </font>
    <font>
      <name val="Aptos Narrow"/>
      <b val="1"/>
      <sz val="11"/>
    </font>
    <font>
      <name val="Calibri"/>
      <b val="1"/>
      <color rgb="FFFFFFFF"/>
      <sz val="11"/>
    </font>
    <font>
      <name val="Calibri"/>
      <b val="1"/>
      <color rgb="00FFFFFF"/>
      <sz val="11"/>
    </font>
    <font>
      <name val="Aptos Narrow"/>
      <color rgb="000563C1"/>
      <sz val="11"/>
      <u val="single"/>
    </font>
  </fonts>
  <fills count="10">
    <fill>
      <patternFill/>
    </fill>
    <fill>
      <patternFill patternType="gray125"/>
    </fill>
    <fill>
      <patternFill patternType="solid">
        <fgColor theme="1" tint="0.499984740745262"/>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rgb="FF1F4E79"/>
        <bgColor rgb="FF1F4E79"/>
      </patternFill>
    </fill>
    <fill>
      <patternFill patternType="solid">
        <fgColor rgb="001F4E79"/>
        <bgColor rgb="001F4E79"/>
      </patternFill>
    </fill>
    <fill>
      <patternFill patternType="solid">
        <fgColor rgb="00548235"/>
        <bgColor rgb="00548235"/>
      </patternFill>
    </fill>
    <fill>
      <patternFill patternType="solid">
        <fgColor rgb="002E75B6"/>
        <bgColor rgb="002E75B6"/>
      </patternFill>
    </fill>
  </fills>
  <borders count="6">
    <border>
      <left/>
      <right/>
      <top/>
      <bottom/>
      <diagonal/>
    </border>
    <border>
      <left style="hair">
        <color theme="0" tint="-0.1499984740745262"/>
      </left>
      <right style="hair">
        <color theme="0" tint="-0.1499984740745262"/>
      </right>
      <top style="hair">
        <color theme="0" tint="-0.1499984740745262"/>
      </top>
      <bottom style="hair">
        <color theme="0" tint="-0.1499984740745262"/>
      </bottom>
      <diagonal/>
    </border>
    <border>
      <left style="hair">
        <color theme="0" tint="-0.1499984740745262"/>
      </left>
      <right style="hair">
        <color theme="0" tint="-0.1499984740745262"/>
      </right>
      <top/>
      <bottom/>
      <diagonal/>
    </border>
    <border>
      <left style="medium">
        <color theme="0" tint="-0.1499984740745262"/>
      </left>
      <right style="medium">
        <color theme="0" tint="-0.1499984740745262"/>
      </right>
      <top style="medium">
        <color theme="0" tint="-0.1499984740745262"/>
      </top>
      <bottom style="medium">
        <color theme="0" tint="-0.1499984740745262"/>
      </bottom>
      <diagonal/>
    </border>
    <border>
      <left/>
      <right/>
      <top/>
      <bottom/>
      <diagonal/>
    </border>
    <border>
      <bottom style="thin">
        <color rgb="00E0E0E0"/>
      </bottom>
    </border>
  </borders>
  <cellStyleXfs count="3">
    <xf numFmtId="0" fontId="0" fillId="0" borderId="4"/>
    <xf numFmtId="49" fontId="7" fillId="0" borderId="4"/>
    <xf numFmtId="0" fontId="8" fillId="0" borderId="4"/>
  </cellStyleXfs>
  <cellXfs count="30">
    <xf numFmtId="0" fontId="0" fillId="0" borderId="0" pivotButton="0" quotePrefix="0" xfId="0"/>
    <xf numFmtId="0" fontId="0" fillId="2" borderId="0" pivotButton="0" quotePrefix="0" xfId="0"/>
    <xf numFmtId="0" fontId="0" fillId="3" borderId="0" pivotButton="0" quotePrefix="0" xfId="0"/>
    <xf numFmtId="0" fontId="1" fillId="3" borderId="0" applyAlignment="1" pivotButton="0" quotePrefix="0" xfId="0">
      <alignment vertical="center"/>
    </xf>
    <xf numFmtId="0" fontId="1" fillId="0" borderId="0" pivotButton="0" quotePrefix="0" xfId="0"/>
    <xf numFmtId="0" fontId="4" fillId="0" borderId="0" pivotButton="0" quotePrefix="0" xfId="0"/>
    <xf numFmtId="0" fontId="0" fillId="0" borderId="1" pivotButton="0" quotePrefix="0" xfId="0"/>
    <xf numFmtId="0" fontId="0" fillId="4" borderId="1" pivotButton="0" quotePrefix="0" xfId="0"/>
    <xf numFmtId="0" fontId="5" fillId="0" borderId="1" pivotButton="0" quotePrefix="0" xfId="0"/>
    <xf numFmtId="9" fontId="5" fillId="0" borderId="1" pivotButton="0" quotePrefix="0" xfId="0"/>
    <xf numFmtId="3" fontId="5" fillId="0" borderId="1" pivotButton="0" quotePrefix="0" xfId="0"/>
    <xf numFmtId="0" fontId="3" fillId="5" borderId="0" applyAlignment="1" pivotButton="0" quotePrefix="0" xfId="0">
      <alignment horizontal="center"/>
    </xf>
    <xf numFmtId="0" fontId="2" fillId="0" borderId="0" pivotButton="0" quotePrefix="0" xfId="0"/>
    <xf numFmtId="0" fontId="1" fillId="0" borderId="2" pivotButton="0" quotePrefix="0" xfId="0"/>
    <xf numFmtId="3" fontId="1" fillId="0" borderId="0" pivotButton="0" quotePrefix="0" xfId="0"/>
    <xf numFmtId="3" fontId="1" fillId="4" borderId="3" applyAlignment="1" pivotButton="0" quotePrefix="0" xfId="0">
      <alignment horizontal="center"/>
    </xf>
    <xf numFmtId="0" fontId="0" fillId="4" borderId="1" applyAlignment="1" pivotButton="0" quotePrefix="0" xfId="0">
      <alignment horizontal="center"/>
    </xf>
    <xf numFmtId="0" fontId="3" fillId="3" borderId="0" pivotButton="0" quotePrefix="0" xfId="0"/>
    <xf numFmtId="3" fontId="6" fillId="4" borderId="1" applyAlignment="1" pivotButton="0" quotePrefix="0" xfId="0">
      <alignment horizontal="left"/>
    </xf>
    <xf numFmtId="0" fontId="9" fillId="0" borderId="4" pivotButton="0" quotePrefix="0" xfId="0"/>
    <xf numFmtId="0" fontId="11" fillId="6" borderId="4" applyAlignment="1" pivotButton="0" quotePrefix="0" xfId="0">
      <alignment horizontal="center" vertical="center" wrapText="1"/>
    </xf>
    <xf numFmtId="0" fontId="10" fillId="0" borderId="4" pivotButton="0" quotePrefix="0" xfId="0"/>
    <xf numFmtId="0" fontId="12" fillId="7" borderId="0" applyAlignment="1" pivotButton="0" quotePrefix="0" xfId="0">
      <alignment horizontal="center" vertical="center" wrapText="1"/>
    </xf>
    <xf numFmtId="0" fontId="12" fillId="8" borderId="4" applyAlignment="1" pivotButton="0" quotePrefix="0" xfId="0">
      <alignment horizontal="center" vertical="center" wrapText="1"/>
    </xf>
    <xf numFmtId="0" fontId="12" fillId="7" borderId="4" applyAlignment="1" pivotButton="0" quotePrefix="0" xfId="0">
      <alignment horizontal="center" vertical="center" wrapText="1"/>
    </xf>
    <xf numFmtId="0" fontId="12" fillId="9" borderId="4" applyAlignment="1" pivotButton="0" quotePrefix="0" xfId="0">
      <alignment horizontal="center" vertical="center" wrapText="1"/>
    </xf>
    <xf numFmtId="0" fontId="9" fillId="0" borderId="5" applyAlignment="1" pivotButton="0" quotePrefix="0" xfId="0">
      <alignment vertical="top" wrapText="1"/>
    </xf>
    <xf numFmtId="165" fontId="9" fillId="0" borderId="5" applyAlignment="1" pivotButton="0" quotePrefix="0" xfId="0">
      <alignment vertical="top" wrapText="1"/>
    </xf>
    <xf numFmtId="3" fontId="9" fillId="0" borderId="5" applyAlignment="1" pivotButton="0" quotePrefix="0" xfId="0">
      <alignment vertical="top" wrapText="1"/>
    </xf>
    <xf numFmtId="0" fontId="13" fillId="0" borderId="5" applyAlignment="1" pivotButton="0" quotePrefix="0" xfId="0">
      <alignment vertical="top" wrapText="1"/>
    </xf>
  </cellXfs>
  <cellStyles count="3">
    <cellStyle name="Normal" xfId="0" builtinId="0"/>
    <cellStyle name="Normal 4"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ted.europa.eu/en/notice/-/detail/182178-2026" TargetMode="External" Id="rId1"/><Relationship Type="http://schemas.openxmlformats.org/officeDocument/2006/relationships/hyperlink" Target="https://ted.europa.eu/en/notice/-/detail/326948-2025" TargetMode="External" Id="rId2"/><Relationship Type="http://schemas.openxmlformats.org/officeDocument/2006/relationships/hyperlink" Target="https://ted.europa.eu/en/notice/-/detail/530666-2024" TargetMode="External" Id="rId3"/><Relationship Type="http://schemas.openxmlformats.org/officeDocument/2006/relationships/hyperlink" Target="https://ted.europa.eu/en/notice/-/detail/537199-2024" TargetMode="External" Id="rId4"/><Relationship Type="http://schemas.openxmlformats.org/officeDocument/2006/relationships/hyperlink" Target="https://ted.europa.eu/en/notice/-/detail/749251-2025" TargetMode="External" Id="rId5"/><Relationship Type="http://schemas.openxmlformats.org/officeDocument/2006/relationships/hyperlink" Target="https://ted.europa.eu/en/notice/-/detail/345761-2025" TargetMode="External" Id="rId6"/><Relationship Type="http://schemas.openxmlformats.org/officeDocument/2006/relationships/hyperlink" Target="https://ted.europa.eu/en/notice/-/detail/432811-2024" TargetMode="External" Id="rId7"/><Relationship Type="http://schemas.openxmlformats.org/officeDocument/2006/relationships/hyperlink" Target="https://ted.europa.eu/en/notice/-/detail/488694-2022" TargetMode="External" Id="rId8"/><Relationship Type="http://schemas.openxmlformats.org/officeDocument/2006/relationships/hyperlink" Target="https://ted.europa.eu/en/notice/-/detail/95616-2026" TargetMode="External" Id="rId9"/><Relationship Type="http://schemas.openxmlformats.org/officeDocument/2006/relationships/hyperlink" Target="https://ted.europa.eu/en/notice/-/detail/255376-2025" TargetMode="External" Id="rId10"/><Relationship Type="http://schemas.openxmlformats.org/officeDocument/2006/relationships/hyperlink" Target="https://ted.europa.eu/en/notice/-/detail/118630-2024" TargetMode="External" Id="rId11"/><Relationship Type="http://schemas.openxmlformats.org/officeDocument/2006/relationships/hyperlink" Target="https://ted.europa.eu/en/notice/-/detail/283775-2022" TargetMode="External" Id="rId12"/><Relationship Type="http://schemas.openxmlformats.org/officeDocument/2006/relationships/hyperlink" Target="https://ted.europa.eu/en/notice/-/detail/207812-2024" TargetMode="External" Id="rId13"/><Relationship Type="http://schemas.openxmlformats.org/officeDocument/2006/relationships/hyperlink" Target="https://ted.europa.eu/en/notice/-/detail/711549-2022" TargetMode="External" Id="rId14"/><Relationship Type="http://schemas.openxmlformats.org/officeDocument/2006/relationships/hyperlink" Target="https://ted.europa.eu/en/notice/-/detail/465260-2025" TargetMode="External" Id="rId15"/><Relationship Type="http://schemas.openxmlformats.org/officeDocument/2006/relationships/hyperlink" Target="https://ted.europa.eu/en/notice/-/detail/682847-2024" TargetMode="External" Id="rId16"/><Relationship Type="http://schemas.openxmlformats.org/officeDocument/2006/relationships/hyperlink" Target="https://ted.europa.eu/en/notice/-/detail/212474-2026" TargetMode="External" Id="rId17"/><Relationship Type="http://schemas.openxmlformats.org/officeDocument/2006/relationships/hyperlink" Target="https://ted.europa.eu/en/notice/-/detail/231675-2021" TargetMode="External" Id="rId18"/><Relationship Type="http://schemas.openxmlformats.org/officeDocument/2006/relationships/hyperlink" Target="https://ted.europa.eu/en/notice/-/detail/161258-2025" TargetMode="External" Id="rId19"/><Relationship Type="http://schemas.openxmlformats.org/officeDocument/2006/relationships/hyperlink" Target="https://ted.europa.eu/en/notice/-/detail/13179-2023" TargetMode="External" Id="rId20"/><Relationship Type="http://schemas.openxmlformats.org/officeDocument/2006/relationships/hyperlink" Target="https://ted.europa.eu/en/notice/-/detail/188150-2024" TargetMode="External" Id="rId21"/><Relationship Type="http://schemas.openxmlformats.org/officeDocument/2006/relationships/hyperlink" Target="https://ted.europa.eu/en/notice/-/detail/813306-2025" TargetMode="External" Id="rId22"/><Relationship Type="http://schemas.openxmlformats.org/officeDocument/2006/relationships/hyperlink" Target="https://ted.europa.eu/en/notice/-/detail/309470-2022" TargetMode="External" Id="rId23"/><Relationship Type="http://schemas.openxmlformats.org/officeDocument/2006/relationships/hyperlink" Target="https://ted.europa.eu/en/notice/-/detail/129915-2025" TargetMode="External" Id="rId24"/><Relationship Type="http://schemas.openxmlformats.org/officeDocument/2006/relationships/hyperlink" Target="https://ted.europa.eu/en/notice/-/detail/620674-2024" TargetMode="External" Id="rId25"/><Relationship Type="http://schemas.openxmlformats.org/officeDocument/2006/relationships/hyperlink" Target="https://ted.europa.eu/en/notice/-/detail/132540-2025" TargetMode="External" Id="rId26"/><Relationship Type="http://schemas.openxmlformats.org/officeDocument/2006/relationships/hyperlink" Target="https://ted.europa.eu/en/notice/-/detail/590889-2025" TargetMode="External" Id="rId27"/><Relationship Type="http://schemas.openxmlformats.org/officeDocument/2006/relationships/hyperlink" Target="https://ted.europa.eu/en/notice/-/detail/254420-2025" TargetMode="External" Id="rId28"/><Relationship Type="http://schemas.openxmlformats.org/officeDocument/2006/relationships/hyperlink" Target="https://ted.europa.eu/en/notice/-/detail/582377-2025" TargetMode="External" Id="rId29"/><Relationship Type="http://schemas.openxmlformats.org/officeDocument/2006/relationships/hyperlink" Target="https://ted.europa.eu/en/notice/-/detail/30130-2025" TargetMode="External" Id="rId30"/><Relationship Type="http://schemas.openxmlformats.org/officeDocument/2006/relationships/hyperlink" Target="https://ted.europa.eu/en/notice/-/detail/467088-2025" TargetMode="External" Id="rId31"/><Relationship Type="http://schemas.openxmlformats.org/officeDocument/2006/relationships/hyperlink" Target="https://ted.europa.eu/en/notice/-/detail/119311-2025" TargetMode="External" Id="rId32"/><Relationship Type="http://schemas.openxmlformats.org/officeDocument/2006/relationships/hyperlink" Target="https://ted.europa.eu/en/notice/-/detail/18389-2020" TargetMode="External" Id="rId33"/><Relationship Type="http://schemas.openxmlformats.org/officeDocument/2006/relationships/hyperlink" Target="https://ted.europa.eu/en/notice/-/detail/152406-2025" TargetMode="External" Id="rId34"/><Relationship Type="http://schemas.openxmlformats.org/officeDocument/2006/relationships/hyperlink" Target="https://ted.europa.eu/en/notice/-/detail/299270-2019" TargetMode="External" Id="rId35"/><Relationship Type="http://schemas.openxmlformats.org/officeDocument/2006/relationships/hyperlink" Target="https://ted.europa.eu/en/notice/-/detail/583390-2025" TargetMode="External" Id="rId36"/><Relationship Type="http://schemas.openxmlformats.org/officeDocument/2006/relationships/hyperlink" Target="https://ted.europa.eu/en/notice/-/detail/147850-2021" TargetMode="External" Id="rId37"/><Relationship Type="http://schemas.openxmlformats.org/officeDocument/2006/relationships/hyperlink" Target="https://ted.europa.eu/en/notice/-/detail/158253-2020" TargetMode="External" Id="rId38"/><Relationship Type="http://schemas.openxmlformats.org/officeDocument/2006/relationships/hyperlink" Target="https://ted.europa.eu/en/notice/-/detail/510836-2017" TargetMode="External" Id="rId39"/><Relationship Type="http://schemas.openxmlformats.org/officeDocument/2006/relationships/hyperlink" Target="https://ted.europa.eu/en/notice/-/detail/161385-2021" TargetMode="External" Id="rId40"/><Relationship Type="http://schemas.openxmlformats.org/officeDocument/2006/relationships/hyperlink" Target="https://ted.europa.eu/en/notice/-/detail/261427-2025" TargetMode="External" Id="rId41"/><Relationship Type="http://schemas.openxmlformats.org/officeDocument/2006/relationships/hyperlink" Target="https://ted.europa.eu/en/notice/-/detail/660912-2024" TargetMode="External" Id="rId42"/><Relationship Type="http://schemas.openxmlformats.org/officeDocument/2006/relationships/hyperlink" Target="https://ted.europa.eu/en/notice/-/detail/23089-2024" TargetMode="External" Id="rId43"/><Relationship Type="http://schemas.openxmlformats.org/officeDocument/2006/relationships/hyperlink" Target="https://ted.europa.eu/en/notice/-/detail/25210-2020" TargetMode="External" Id="rId44"/><Relationship Type="http://schemas.openxmlformats.org/officeDocument/2006/relationships/hyperlink" Target="https://ted.europa.eu/en/notice/-/detail/504718-2017" TargetMode="External" Id="rId45"/><Relationship Type="http://schemas.openxmlformats.org/officeDocument/2006/relationships/hyperlink" Target="https://ted.europa.eu/en/notice/-/detail/416123-2016" TargetMode="External" Id="rId46"/><Relationship Type="http://schemas.openxmlformats.org/officeDocument/2006/relationships/hyperlink" Target="https://ted.europa.eu/en/notice/-/detail/673480-2024" TargetMode="External" Id="rId47"/><Relationship Type="http://schemas.openxmlformats.org/officeDocument/2006/relationships/hyperlink" Target="https://ted.europa.eu/en/notice/-/detail/520851-2023" TargetMode="External" Id="rId48"/><Relationship Type="http://schemas.openxmlformats.org/officeDocument/2006/relationships/hyperlink" Target="https://ted.europa.eu/en/notice/-/detail/425325-2019" TargetMode="External" Id="rId49"/><Relationship Type="http://schemas.openxmlformats.org/officeDocument/2006/relationships/hyperlink" Target="https://ted.europa.eu/en/notice/-/detail/485935-2022" TargetMode="External" Id="rId50"/><Relationship Type="http://schemas.openxmlformats.org/officeDocument/2006/relationships/hyperlink" Target="https://ted.europa.eu/en/notice/-/detail/467733-2020" TargetMode="External" Id="rId51"/><Relationship Type="http://schemas.openxmlformats.org/officeDocument/2006/relationships/hyperlink" Target="https://ted.europa.eu/en/notice/-/detail/208162-2019" TargetMode="External" Id="rId52"/><Relationship Type="http://schemas.openxmlformats.org/officeDocument/2006/relationships/hyperlink" Target="https://ted.europa.eu/en/notice/-/detail/172885-2022" TargetMode="External" Id="rId53"/><Relationship Type="http://schemas.openxmlformats.org/officeDocument/2006/relationships/hyperlink" Target="https://ted.europa.eu/en/notice/-/detail/309374-2017" TargetMode="External" Id="rId54"/><Relationship Type="http://schemas.openxmlformats.org/officeDocument/2006/relationships/hyperlink" Target="https://ted.europa.eu/en/notice/-/detail/567897-2019" TargetMode="External" Id="rId55"/><Relationship Type="http://schemas.openxmlformats.org/officeDocument/2006/relationships/hyperlink" Target="https://ted.europa.eu/en/notice/-/detail/449529-2018" TargetMode="External" Id="rId56"/><Relationship Type="http://schemas.openxmlformats.org/officeDocument/2006/relationships/hyperlink" Target="https://ted.europa.eu/en/notice/-/detail/343264-2018" TargetMode="External" Id="rId57"/><Relationship Type="http://schemas.openxmlformats.org/officeDocument/2006/relationships/hyperlink" Target="https://ted.europa.eu/en/notice/-/detail/280104-2023" TargetMode="External" Id="rId58"/><Relationship Type="http://schemas.openxmlformats.org/officeDocument/2006/relationships/hyperlink" Target="https://ted.europa.eu/en/notice/-/detail/98678-2017" TargetMode="External" Id="rId59"/><Relationship Type="http://schemas.openxmlformats.org/officeDocument/2006/relationships/hyperlink" Target="https://ted.europa.eu/en/notice/-/detail/168172-2018" TargetMode="External" Id="rId60"/><Relationship Type="http://schemas.openxmlformats.org/officeDocument/2006/relationships/hyperlink" Target="https://ted.europa.eu/en/notice/-/detail/114692-2020" TargetMode="External" Id="rId61"/><Relationship Type="http://schemas.openxmlformats.org/officeDocument/2006/relationships/hyperlink" Target="https://ted.europa.eu/en/notice/-/detail/174181-2019" TargetMode="External" Id="rId62"/><Relationship Type="http://schemas.openxmlformats.org/officeDocument/2006/relationships/hyperlink" Target="https://ted.europa.eu/en/notice/-/detail/476399-2023" TargetMode="External" Id="rId63"/><Relationship Type="http://schemas.openxmlformats.org/officeDocument/2006/relationships/hyperlink" Target="https://ted.europa.eu/en/notice/-/detail/533765-2019" TargetMode="External" Id="rId64"/><Relationship Type="http://schemas.openxmlformats.org/officeDocument/2006/relationships/hyperlink" Target="https://ted.europa.eu/en/notice/-/detail/586629-2020" TargetMode="External" Id="rId65"/><Relationship Type="http://schemas.openxmlformats.org/officeDocument/2006/relationships/hyperlink" Target="https://ted.europa.eu/en/notice/-/detail/236275-2019" TargetMode="External" Id="rId66"/><Relationship Type="http://schemas.openxmlformats.org/officeDocument/2006/relationships/hyperlink" Target="https://ted.europa.eu/en/notice/-/detail/437702-2018" TargetMode="External" Id="rId67"/><Relationship Type="http://schemas.openxmlformats.org/officeDocument/2006/relationships/hyperlink" Target="https://ted.europa.eu/en/notice/-/detail/222647-2022" TargetMode="External" Id="rId68"/><Relationship Type="http://schemas.openxmlformats.org/officeDocument/2006/relationships/hyperlink" Target="https://ted.europa.eu/en/notice/-/detail/302549-2020" TargetMode="External" Id="rId69"/><Relationship Type="http://schemas.openxmlformats.org/officeDocument/2006/relationships/hyperlink" Target="https://ted.europa.eu/en/notice/-/detail/109414-2018" TargetMode="External" Id="rId70"/><Relationship Type="http://schemas.openxmlformats.org/officeDocument/2006/relationships/hyperlink" Target="https://ted.europa.eu/en/notice/-/detail/433510-2022" TargetMode="External" Id="rId71"/><Relationship Type="http://schemas.openxmlformats.org/officeDocument/2006/relationships/hyperlink" Target="https://ted.europa.eu/en/notice/-/detail/140710-2026" TargetMode="External" Id="rId72"/><Relationship Type="http://schemas.openxmlformats.org/officeDocument/2006/relationships/hyperlink" Target="https://ted.europa.eu/en/notice/-/detail/320781-2017" TargetMode="External" Id="rId73"/><Relationship Type="http://schemas.openxmlformats.org/officeDocument/2006/relationships/hyperlink" Target="https://ted.europa.eu/en/notice/-/detail/236276-2019" TargetMode="External" Id="rId74"/><Relationship Type="http://schemas.openxmlformats.org/officeDocument/2006/relationships/hyperlink" Target="https://ted.europa.eu/en/notice/-/detail/561333-2024" TargetMode="External" Id="rId75"/><Relationship Type="http://schemas.openxmlformats.org/officeDocument/2006/relationships/hyperlink" Target="https://ted.europa.eu/en/notice/-/detail/143718-2018" TargetMode="External" Id="rId76"/><Relationship Type="http://schemas.openxmlformats.org/officeDocument/2006/relationships/hyperlink" Target="https://ted.europa.eu/en/notice/-/detail/796372-2025" TargetMode="External" Id="rId77"/><Relationship Type="http://schemas.openxmlformats.org/officeDocument/2006/relationships/hyperlink" Target="https://ted.europa.eu/en/notice/-/detail/218375-2020" TargetMode="External" Id="rId78"/><Relationship Type="http://schemas.openxmlformats.org/officeDocument/2006/relationships/hyperlink" Target="https://ted.europa.eu/en/notice/-/detail/158377-2020" TargetMode="External" Id="rId79"/><Relationship Type="http://schemas.openxmlformats.org/officeDocument/2006/relationships/hyperlink" Target="https://ted.europa.eu/en/notice/-/detail/29224-2021" TargetMode="External" Id="rId80"/><Relationship Type="http://schemas.openxmlformats.org/officeDocument/2006/relationships/hyperlink" Target="https://ted.europa.eu/en/notice/-/detail/72106-2017" TargetMode="External" Id="rId81"/><Relationship Type="http://schemas.openxmlformats.org/officeDocument/2006/relationships/hyperlink" Target="https://ted.europa.eu/en/notice/-/detail/222221-2019" TargetMode="External" Id="rId82"/><Relationship Type="http://schemas.openxmlformats.org/officeDocument/2006/relationships/hyperlink" Target="https://ted.europa.eu/en/notice/-/detail/224545-2026" TargetMode="External" Id="rId83"/><Relationship Type="http://schemas.openxmlformats.org/officeDocument/2006/relationships/hyperlink" Target="https://ted.europa.eu/en/notice/-/detail/185625-2018" TargetMode="External" Id="rId84"/><Relationship Type="http://schemas.openxmlformats.org/officeDocument/2006/relationships/hyperlink" Target="https://ted.europa.eu/en/notice/-/detail/444390-2018" TargetMode="External" Id="rId85"/><Relationship Type="http://schemas.openxmlformats.org/officeDocument/2006/relationships/hyperlink" Target="https://ted.europa.eu/en/notice/-/detail/287015-2018" TargetMode="External" Id="rId86"/><Relationship Type="http://schemas.openxmlformats.org/officeDocument/2006/relationships/hyperlink" Target="https://ted.europa.eu/en/notice/-/detail/40574-2017" TargetMode="External" Id="rId87"/><Relationship Type="http://schemas.openxmlformats.org/officeDocument/2006/relationships/hyperlink" Target="https://ted.europa.eu/en/notice/-/detail/66554-2018" TargetMode="External" Id="rId88"/><Relationship Type="http://schemas.openxmlformats.org/officeDocument/2006/relationships/hyperlink" Target="https://ted.europa.eu/en/notice/-/detail/278489-2016" TargetMode="External" Id="rId89"/><Relationship Type="http://schemas.openxmlformats.org/officeDocument/2006/relationships/hyperlink" Target="https://ted.europa.eu/en/notice/-/detail/129023-2016" TargetMode="External" Id="rId90"/><Relationship Type="http://schemas.openxmlformats.org/officeDocument/2006/relationships/hyperlink" Target="https://ted.europa.eu/en/notice/-/detail/550168-2018" TargetMode="External" Id="rId91"/><Relationship Type="http://schemas.openxmlformats.org/officeDocument/2006/relationships/hyperlink" Target="https://ted.europa.eu/en/notice/-/detail/442117-2023" TargetMode="External" Id="rId92"/><Relationship Type="http://schemas.openxmlformats.org/officeDocument/2006/relationships/hyperlink" Target="https://ted.europa.eu/en/notice/-/detail/287476-2018" TargetMode="External" Id="rId93"/><Relationship Type="http://schemas.openxmlformats.org/officeDocument/2006/relationships/hyperlink" Target="https://ted.europa.eu/en/notice/-/detail/147766-2020" TargetMode="External" Id="rId94"/><Relationship Type="http://schemas.openxmlformats.org/officeDocument/2006/relationships/hyperlink" Target="https://ted.europa.eu/en/notice/-/detail/335687-2017" TargetMode="External" Id="rId95"/><Relationship Type="http://schemas.openxmlformats.org/officeDocument/2006/relationships/hyperlink" Target="https://ted.europa.eu/en/notice/-/detail/453347-2020" TargetMode="External" Id="rId96"/><Relationship Type="http://schemas.openxmlformats.org/officeDocument/2006/relationships/hyperlink" Target="https://ted.europa.eu/en/notice/-/detail/49638-2019" TargetMode="External" Id="rId97"/><Relationship Type="http://schemas.openxmlformats.org/officeDocument/2006/relationships/hyperlink" Target="https://ted.europa.eu/en/notice/-/detail/204192-2016" TargetMode="External" Id="rId98"/><Relationship Type="http://schemas.openxmlformats.org/officeDocument/2006/relationships/hyperlink" Target="https://ted.europa.eu/en/notice/-/detail/517828-2017" TargetMode="External" Id="rId99"/><Relationship Type="http://schemas.openxmlformats.org/officeDocument/2006/relationships/hyperlink" Target="https://ted.europa.eu/en/notice/-/detail/186475-2017" TargetMode="External" Id="rId100"/><Relationship Type="http://schemas.openxmlformats.org/officeDocument/2006/relationships/hyperlink" Target="https://ted.europa.eu/en/notice/-/detail/504725-2018" TargetMode="External" Id="rId101"/><Relationship Type="http://schemas.openxmlformats.org/officeDocument/2006/relationships/hyperlink" Target="https://ted.europa.eu/en/notice/-/detail/462506-2021" TargetMode="External" Id="rId102"/><Relationship Type="http://schemas.openxmlformats.org/officeDocument/2006/relationships/hyperlink" Target="https://ted.europa.eu/en/notice/-/detail/103251-2026" TargetMode="External" Id="rId103"/><Relationship Type="http://schemas.openxmlformats.org/officeDocument/2006/relationships/hyperlink" Target="https://ted.europa.eu/en/notice/-/detail/472604-2022" TargetMode="External" Id="rId104"/><Relationship Type="http://schemas.openxmlformats.org/officeDocument/2006/relationships/hyperlink" Target="https://ted.europa.eu/en/notice/-/detail/44748-2019" TargetMode="External" Id="rId105"/><Relationship Type="http://schemas.openxmlformats.org/officeDocument/2006/relationships/hyperlink" Target="https://ted.europa.eu/en/notice/-/detail/381122-2019" TargetMode="External" Id="rId106"/><Relationship Type="http://schemas.openxmlformats.org/officeDocument/2006/relationships/hyperlink" Target="https://ted.europa.eu/en/notice/-/detail/156274-2020" TargetMode="External" Id="rId107"/><Relationship Type="http://schemas.openxmlformats.org/officeDocument/2006/relationships/hyperlink" Target="https://ted.europa.eu/en/notice/-/detail/437386-2019" TargetMode="External" Id="rId108"/><Relationship Type="http://schemas.openxmlformats.org/officeDocument/2006/relationships/hyperlink" Target="https://ted.europa.eu/en/notice/-/detail/544760-2024" TargetMode="External" Id="rId109"/><Relationship Type="http://schemas.openxmlformats.org/officeDocument/2006/relationships/hyperlink" Target="https://ted.europa.eu/en/notice/-/detail/252675-2024" TargetMode="External" Id="rId110"/><Relationship Type="http://schemas.openxmlformats.org/officeDocument/2006/relationships/hyperlink" Target="https://ted.europa.eu/en/notice/-/detail/619862-2019" TargetMode="External" Id="rId111"/><Relationship Type="http://schemas.openxmlformats.org/officeDocument/2006/relationships/hyperlink" Target="https://ted.europa.eu/en/notice/-/detail/580921-2021" TargetMode="External" Id="rId112"/><Relationship Type="http://schemas.openxmlformats.org/officeDocument/2006/relationships/hyperlink" Target="https://ted.europa.eu/en/notice/-/detail/438372-2024" TargetMode="External" Id="rId113"/><Relationship Type="http://schemas.openxmlformats.org/officeDocument/2006/relationships/hyperlink" Target="https://ted.europa.eu/en/notice/-/detail/538598-2019" TargetMode="External" Id="rId114"/><Relationship Type="http://schemas.openxmlformats.org/officeDocument/2006/relationships/hyperlink" Target="https://ted.europa.eu/en/notice/-/detail/245779-2019" TargetMode="External" Id="rId115"/><Relationship Type="http://schemas.openxmlformats.org/officeDocument/2006/relationships/hyperlink" Target="https://ted.europa.eu/en/notice/-/detail/502486-2022" TargetMode="External" Id="rId116"/><Relationship Type="http://schemas.openxmlformats.org/officeDocument/2006/relationships/hyperlink" Target="https://ted.europa.eu/en/notice/-/detail/72803-2022" TargetMode="External" Id="rId117"/><Relationship Type="http://schemas.openxmlformats.org/officeDocument/2006/relationships/hyperlink" Target="https://ted.europa.eu/en/notice/-/detail/748301-2024" TargetMode="External" Id="rId118"/><Relationship Type="http://schemas.openxmlformats.org/officeDocument/2006/relationships/hyperlink" Target="https://ted.europa.eu/en/notice/-/detail/473074-2022" TargetMode="External" Id="rId119"/><Relationship Type="http://schemas.openxmlformats.org/officeDocument/2006/relationships/hyperlink" Target="https://ted.europa.eu/en/notice/-/detail/192334-2020" TargetMode="External" Id="rId120"/><Relationship Type="http://schemas.openxmlformats.org/officeDocument/2006/relationships/hyperlink" Target="https://ted.europa.eu/en/notice/-/detail/140196-2020" TargetMode="External" Id="rId121"/><Relationship Type="http://schemas.openxmlformats.org/officeDocument/2006/relationships/hyperlink" Target="https://ted.europa.eu/en/notice/-/detail/282269-2023" TargetMode="External" Id="rId122"/><Relationship Type="http://schemas.openxmlformats.org/officeDocument/2006/relationships/hyperlink" Target="https://ted.europa.eu/en/notice/-/detail/61174-2019" TargetMode="External" Id="rId123"/><Relationship Type="http://schemas.openxmlformats.org/officeDocument/2006/relationships/hyperlink" Target="https://ted.europa.eu/en/notice/-/detail/377722-2023" TargetMode="External" Id="rId124"/><Relationship Type="http://schemas.openxmlformats.org/officeDocument/2006/relationships/hyperlink" Target="https://ted.europa.eu/en/notice/-/detail/272850-2020" TargetMode="External" Id="rId125"/><Relationship Type="http://schemas.openxmlformats.org/officeDocument/2006/relationships/hyperlink" Target="https://ted.europa.eu/en/notice/-/detail/726196-2024" TargetMode="External" Id="rId126"/><Relationship Type="http://schemas.openxmlformats.org/officeDocument/2006/relationships/hyperlink" Target="https://ted.europa.eu/en/notice/-/detail/433505-2022" TargetMode="External" Id="rId127"/><Relationship Type="http://schemas.openxmlformats.org/officeDocument/2006/relationships/hyperlink" Target="https://ted.europa.eu/en/notice/-/detail/290520-2018" TargetMode="External" Id="rId128"/><Relationship Type="http://schemas.openxmlformats.org/officeDocument/2006/relationships/hyperlink" Target="https://ted.europa.eu/en/notice/-/detail/202710-2019" TargetMode="External" Id="rId129"/><Relationship Type="http://schemas.openxmlformats.org/officeDocument/2006/relationships/hyperlink" Target="https://ted.europa.eu/en/notice/-/detail/126999-2021" TargetMode="External" Id="rId130"/><Relationship Type="http://schemas.openxmlformats.org/officeDocument/2006/relationships/hyperlink" Target="https://ted.europa.eu/en/notice/-/detail/568054-2023" TargetMode="External" Id="rId131"/><Relationship Type="http://schemas.openxmlformats.org/officeDocument/2006/relationships/hyperlink" Target="https://ted.europa.eu/en/notice/-/detail/303464-2022" TargetMode="External" Id="rId132"/><Relationship Type="http://schemas.openxmlformats.org/officeDocument/2006/relationships/hyperlink" Target="https://ted.europa.eu/en/notice/-/detail/648482-2021" TargetMode="External" Id="rId133"/><Relationship Type="http://schemas.openxmlformats.org/officeDocument/2006/relationships/hyperlink" Target="https://ted.europa.eu/en/notice/-/detail/300549-2017" TargetMode="External" Id="rId134"/><Relationship Type="http://schemas.openxmlformats.org/officeDocument/2006/relationships/hyperlink" Target="https://ted.europa.eu/en/notice/-/detail/736943-2024" TargetMode="External" Id="rId135"/><Relationship Type="http://schemas.openxmlformats.org/officeDocument/2006/relationships/hyperlink" Target="https://ted.europa.eu/en/notice/-/detail/698416-2024" TargetMode="External" Id="rId136"/><Relationship Type="http://schemas.openxmlformats.org/officeDocument/2006/relationships/hyperlink" Target="https://ted.europa.eu/en/notice/-/detail/288875-2024" TargetMode="External" Id="rId137"/><Relationship Type="http://schemas.openxmlformats.org/officeDocument/2006/relationships/hyperlink" Target="https://ted.europa.eu/en/notice/-/detail/285082-2017" TargetMode="External" Id="rId138"/><Relationship Type="http://schemas.openxmlformats.org/officeDocument/2006/relationships/hyperlink" Target="https://ted.europa.eu/en/notice/-/detail/93778-2018" TargetMode="External" Id="rId139"/><Relationship Type="http://schemas.openxmlformats.org/officeDocument/2006/relationships/hyperlink" Target="https://ted.europa.eu/en/notice/-/detail/207385-2026" TargetMode="External" Id="rId140"/><Relationship Type="http://schemas.openxmlformats.org/officeDocument/2006/relationships/hyperlink" Target="https://ted.europa.eu/en/notice/-/detail/62507-2024" TargetMode="External" Id="rId141"/><Relationship Type="http://schemas.openxmlformats.org/officeDocument/2006/relationships/hyperlink" Target="https://ted.europa.eu/en/notice/-/detail/790962-2024" TargetMode="External" Id="rId142"/><Relationship Type="http://schemas.openxmlformats.org/officeDocument/2006/relationships/hyperlink" Target="https://ted.europa.eu/en/notice/-/detail/431698-2023" TargetMode="External" Id="rId143"/><Relationship Type="http://schemas.openxmlformats.org/officeDocument/2006/relationships/hyperlink" Target="https://ted.europa.eu/en/notice/-/detail/265191-2018" TargetMode="External" Id="rId144"/><Relationship Type="http://schemas.openxmlformats.org/officeDocument/2006/relationships/hyperlink" Target="https://ted.europa.eu/en/notice/-/detail/312763-2020" TargetMode="External" Id="rId145"/><Relationship Type="http://schemas.openxmlformats.org/officeDocument/2006/relationships/hyperlink" Target="https://ted.europa.eu/en/notice/-/detail/444456-2025" TargetMode="External" Id="rId146"/><Relationship Type="http://schemas.openxmlformats.org/officeDocument/2006/relationships/hyperlink" Target="https://ted.europa.eu/en/notice/-/detail/268303-2016" TargetMode="External" Id="rId147"/><Relationship Type="http://schemas.openxmlformats.org/officeDocument/2006/relationships/hyperlink" Target="https://ted.europa.eu/en/notice/-/detail/283527-2018" TargetMode="External" Id="rId148"/><Relationship Type="http://schemas.openxmlformats.org/officeDocument/2006/relationships/hyperlink" Target="https://ted.europa.eu/en/notice/-/detail/176779-2019" TargetMode="External" Id="rId149"/><Relationship Type="http://schemas.openxmlformats.org/officeDocument/2006/relationships/hyperlink" Target="https://ted.europa.eu/en/notice/-/detail/551150-2024" TargetMode="External" Id="rId150"/><Relationship Type="http://schemas.openxmlformats.org/officeDocument/2006/relationships/hyperlink" Target="https://ted.europa.eu/en/notice/-/detail/21951-2023" TargetMode="External" Id="rId151"/><Relationship Type="http://schemas.openxmlformats.org/officeDocument/2006/relationships/hyperlink" Target="https://ted.europa.eu/en/notice/-/detail/623704-2021" TargetMode="External" Id="rId152"/><Relationship Type="http://schemas.openxmlformats.org/officeDocument/2006/relationships/hyperlink" Target="https://ted.europa.eu/en/notice/-/detail/479229-2017" TargetMode="External" Id="rId153"/><Relationship Type="http://schemas.openxmlformats.org/officeDocument/2006/relationships/hyperlink" Target="https://ted.europa.eu/en/notice/-/detail/434505-2024" TargetMode="External" Id="rId154"/><Relationship Type="http://schemas.openxmlformats.org/officeDocument/2006/relationships/hyperlink" Target="https://ted.europa.eu/en/notice/-/detail/53033-2024" TargetMode="External" Id="rId155"/><Relationship Type="http://schemas.openxmlformats.org/officeDocument/2006/relationships/hyperlink" Target="https://ted.europa.eu/en/notice/-/detail/433838-2023" TargetMode="External" Id="rId156"/><Relationship Type="http://schemas.openxmlformats.org/officeDocument/2006/relationships/hyperlink" Target="https://ted.europa.eu/en/notice/-/detail/384070-2017" TargetMode="External" Id="rId157"/><Relationship Type="http://schemas.openxmlformats.org/officeDocument/2006/relationships/hyperlink" Target="https://ted.europa.eu/en/notice/-/detail/790433-2023" TargetMode="External" Id="rId158"/><Relationship Type="http://schemas.openxmlformats.org/officeDocument/2006/relationships/hyperlink" Target="https://ted.europa.eu/en/notice/-/detail/664066-2022" TargetMode="External" Id="rId159"/><Relationship Type="http://schemas.openxmlformats.org/officeDocument/2006/relationships/hyperlink" Target="https://ted.europa.eu/en/notice/-/detail/4819-2021" TargetMode="External" Id="rId160"/><Relationship Type="http://schemas.openxmlformats.org/officeDocument/2006/relationships/hyperlink" Target="https://ted.europa.eu/en/notice/-/detail/108413-2022" TargetMode="External" Id="rId161"/><Relationship Type="http://schemas.openxmlformats.org/officeDocument/2006/relationships/hyperlink" Target="https://ted.europa.eu/en/notice/-/detail/529820-2020" TargetMode="External" Id="rId162"/><Relationship Type="http://schemas.openxmlformats.org/officeDocument/2006/relationships/hyperlink" Target="https://www.contractsfinder.service.gov.uk/Notice/a56e62c1-b5d0-4ab4-a903-3ca87ef1c3ab" TargetMode="External" Id="rId163"/><Relationship Type="http://schemas.openxmlformats.org/officeDocument/2006/relationships/hyperlink" Target="https://www.contractsfinder.service.gov.uk/Notice/112fb8e4-cae9-4162-82ba-a6968286b34d" TargetMode="External" Id="rId164"/><Relationship Type="http://schemas.openxmlformats.org/officeDocument/2006/relationships/hyperlink" Target="https://www.contractsfinder.service.gov.uk/Notice/32d1d651-dcfa-4711-a2e6-355ab82d08df" TargetMode="External" Id="rId165"/><Relationship Type="http://schemas.openxmlformats.org/officeDocument/2006/relationships/hyperlink" Target="https://www.contractsfinder.service.gov.uk/Notice/9b5c88a9-9898-4215-8ea4-0d92e521c23b" TargetMode="External" Id="rId166"/><Relationship Type="http://schemas.openxmlformats.org/officeDocument/2006/relationships/hyperlink" Target="https://nen.nipez.cz/verejne-zakazky/detail-zakazky/N006-26-V00010428" TargetMode="External" Id="rId167"/><Relationship Type="http://schemas.openxmlformats.org/officeDocument/2006/relationships/hyperlink" Target="https://nen.nipez.cz/verejne-zakazky/detail-zakazky/N006-26-V00008881" TargetMode="External" Id="rId168"/><Relationship Type="http://schemas.openxmlformats.org/officeDocument/2006/relationships/hyperlink" Target="https://nen.nipez.cz/verejne-zakazky/detail-zakazky/N006-26-V00005076" TargetMode="External" Id="rId169"/><Relationship Type="http://schemas.openxmlformats.org/officeDocument/2006/relationships/hyperlink" Target="https://nen.nipez.cz/verejne-zakazky/detail-zakazky/N006-26-V00000758" TargetMode="External" Id="rId170"/><Relationship Type="http://schemas.openxmlformats.org/officeDocument/2006/relationships/hyperlink" Target="https://nen.nipez.cz/verejne-zakazky/detail-zakazky/N006-24-V00015605" TargetMode="External" Id="rId171"/><Relationship Type="http://schemas.openxmlformats.org/officeDocument/2006/relationships/hyperlink" Target="https://nen.nipez.cz/verejne-zakazky/detail-zakazky/N006-25-V00014955" TargetMode="External" Id="rId172"/><Relationship Type="http://schemas.openxmlformats.org/officeDocument/2006/relationships/hyperlink" Target="https://nen.nipez.cz/verejne-zakazky/detail-zakazky/N006-25-V00006089" TargetMode="External" Id="rId173"/><Relationship Type="http://schemas.openxmlformats.org/officeDocument/2006/relationships/hyperlink" Target="https://nen.nipez.cz/verejne-zakazky/detail-zakazky/N006-23-V00001906" TargetMode="External" Id="rId174"/><Relationship Type="http://schemas.openxmlformats.org/officeDocument/2006/relationships/hyperlink" Target="https://nen.nipez.cz/verejne-zakazky/detail-zakazky/N006-25-V00015642" TargetMode="External" Id="rId175"/><Relationship Type="http://schemas.openxmlformats.org/officeDocument/2006/relationships/hyperlink" Target="https://nen.nipez.cz/verejne-zakazky/detail-zakazky/N006-23-V00000559" TargetMode="External" Id="rId176"/><Relationship Type="http://schemas.openxmlformats.org/officeDocument/2006/relationships/hyperlink" Target="https://nen.nipez.cz/verejne-zakazky/detail-zakazky/N006-24-V00016218" TargetMode="External" Id="rId177"/><Relationship Type="http://schemas.openxmlformats.org/officeDocument/2006/relationships/hyperlink" Target="https://nen.nipez.cz/verejne-zakazky/detail-zakazky/N006-23-V00017787" TargetMode="External" Id="rId178"/><Relationship Type="http://schemas.openxmlformats.org/officeDocument/2006/relationships/hyperlink" Target="https://nen.nipez.cz/verejne-zakazky/detail-zakazky/N006-22-V00016712" TargetMode="External" Id="rId179"/><Relationship Type="http://schemas.openxmlformats.org/officeDocument/2006/relationships/hyperlink" Target="https://nen.nipez.cz/verejne-zakazky/detail-zakazky/N006-22-V00027001" TargetMode="External" Id="rId180"/><Relationship Type="http://schemas.openxmlformats.org/officeDocument/2006/relationships/hyperlink" Target="https://nen.nipez.cz/verejne-zakazky/detail-zakazky/N006-22-V00026992" TargetMode="External" Id="rId181"/><Relationship Type="http://schemas.openxmlformats.org/officeDocument/2006/relationships/hyperlink" Target="https://nen.nipez.cz/verejne-zakazky/detail-zakazky/N006-22-V00026975" TargetMode="External" Id="rId182"/><Relationship Type="http://schemas.openxmlformats.org/officeDocument/2006/relationships/hyperlink" Target="https://nen.nipez.cz/verejne-zakazky/detail-zakazky/N006-25-V00002312" TargetMode="External" Id="rId183"/><Relationship Type="http://schemas.openxmlformats.org/officeDocument/2006/relationships/hyperlink" Target="https://nen.nipez.cz/verejne-zakazky/detail-zakazky/N006-25-V00002308" TargetMode="External" Id="rId184"/><Relationship Type="http://schemas.openxmlformats.org/officeDocument/2006/relationships/hyperlink" Target="https://nen.nipez.cz/verejne-zakazky/detail-zakazky/N006-24-V00040322" TargetMode="External" Id="rId185"/><Relationship Type="http://schemas.openxmlformats.org/officeDocument/2006/relationships/hyperlink" Target="https://nen.nipez.cz/verejne-zakazky/detail-zakazky/N006-24-V00040319" TargetMode="External" Id="rId186"/><Relationship Type="http://schemas.openxmlformats.org/officeDocument/2006/relationships/hyperlink" Target="https://nen.nipez.cz/verejne-zakazky/detail-zakazky/N006-24-V00040316" TargetMode="External" Id="rId187"/><Relationship Type="http://schemas.openxmlformats.org/officeDocument/2006/relationships/hyperlink" Target="https://nen.nipez.cz/verejne-zakazky/detail-zakazky/N006-19-V00008087" TargetMode="External" Id="rId188"/><Relationship Type="http://schemas.openxmlformats.org/officeDocument/2006/relationships/hyperlink" Target="https://nen.nipez.cz/verejne-zakazky/detail-zakazky/N006-24-V00039486" TargetMode="External" Id="rId189"/><Relationship Type="http://schemas.openxmlformats.org/officeDocument/2006/relationships/hyperlink" Target="https://nen.nipez.cz/verejne-zakazky/detail-zakazky/N006-24-V00038682" TargetMode="External" Id="rId190"/><Relationship Type="http://schemas.openxmlformats.org/officeDocument/2006/relationships/hyperlink" Target="https://nen.nipez.cz/verejne-zakazky/detail-zakazky/N006-24-V00038677" TargetMode="External" Id="rId191"/><Relationship Type="http://schemas.openxmlformats.org/officeDocument/2006/relationships/hyperlink" Target="https://nen.nipez.cz/verejne-zakazky/detail-zakazky/N006-24-V00032766" TargetMode="External" Id="rId192"/><Relationship Type="http://schemas.openxmlformats.org/officeDocument/2006/relationships/hyperlink" Target="https://nen.nipez.cz/verejne-zakazky/detail-zakazky/N006-24-V00032762" TargetMode="External" Id="rId193"/><Relationship Type="http://schemas.openxmlformats.org/officeDocument/2006/relationships/hyperlink" Target="https://nen.nipez.cz/verejne-zakazky/detail-zakazky/N006-24-V00032757" TargetMode="External" Id="rId194"/><Relationship Type="http://schemas.openxmlformats.org/officeDocument/2006/relationships/hyperlink" Target="https://nen.nipez.cz/verejne-zakazky/detail-zakazky/N006-18-V00011770" TargetMode="External" Id="rId195"/><Relationship Type="http://schemas.openxmlformats.org/officeDocument/2006/relationships/hyperlink" Target="https://nen.nipez.cz/verejne-zakazky/detail-zakazky/N006-20-P00000006" TargetMode="External" Id="rId196"/><Relationship Type="http://schemas.openxmlformats.org/officeDocument/2006/relationships/hyperlink" Target="https://nen.nipez.cz/verejne-zakazky/detail-zakazky/N006-25-V00005961" TargetMode="External" Id="rId197"/><Relationship Type="http://schemas.openxmlformats.org/officeDocument/2006/relationships/hyperlink" Target="https://nen.nipez.cz/verejne-zakazky/detail-zakazky/N006-24-V00016266" TargetMode="External" Id="rId198"/><Relationship Type="http://schemas.openxmlformats.org/officeDocument/2006/relationships/hyperlink" Target="https://www.boamp.fr/pages/avis/?q=idweb:163372" TargetMode="External" Id="rId199"/><Relationship Type="http://schemas.openxmlformats.org/officeDocument/2006/relationships/hyperlink" Target="https://www.boamp.fr/pages/avis/?q=idweb:76485" TargetMode="External" Id="rId200"/><Relationship Type="http://schemas.openxmlformats.org/officeDocument/2006/relationships/hyperlink" Target="https://www.boamp.fr/pages/avis/?q=idweb:38939" TargetMode="External" Id="rId201"/><Relationship Type="http://schemas.openxmlformats.org/officeDocument/2006/relationships/hyperlink" Target="https://www.boamp.fr/pages/avis/?q=idweb:90275" TargetMode="External" Id="rId202"/><Relationship Type="http://schemas.openxmlformats.org/officeDocument/2006/relationships/hyperlink" Target="https://www.boamp.fr/pages/avis/?q=idweb:20328" TargetMode="External" Id="rId203"/><Relationship Type="http://schemas.openxmlformats.org/officeDocument/2006/relationships/hyperlink" Target="https://www.boamp.fr/pages/avis/?q=idweb:11123" TargetMode="External" Id="rId204"/><Relationship Type="http://schemas.openxmlformats.org/officeDocument/2006/relationships/hyperlink" Target="https://www.boamp.fr/pages/avis/?q=idweb:11519" TargetMode="External" Id="rId205"/><Relationship Type="http://schemas.openxmlformats.org/officeDocument/2006/relationships/hyperlink" Target="https://www.boamp.fr/pages/avis/?q=idweb:186837" TargetMode="External" Id="rId206"/><Relationship Type="http://schemas.openxmlformats.org/officeDocument/2006/relationships/hyperlink" Target="https://www.boamp.fr/pages/avis/?q=idweb:46366" TargetMode="External" Id="rId207"/><Relationship Type="http://schemas.openxmlformats.org/officeDocument/2006/relationships/hyperlink" Target="https://www.boamp.fr/pages/avis/?q=idweb:11984" TargetMode="External" Id="rId208"/><Relationship Type="http://schemas.openxmlformats.org/officeDocument/2006/relationships/hyperlink" Target="https://www.boamp.fr/pages/avis/?q=idweb:127112" TargetMode="External" Id="rId209"/><Relationship Type="http://schemas.openxmlformats.org/officeDocument/2006/relationships/hyperlink" Target="https://www.boamp.fr/pages/avis/?q=idweb:95354" TargetMode="External" Id="rId210"/><Relationship Type="http://schemas.openxmlformats.org/officeDocument/2006/relationships/hyperlink" Target="https://www.boamp.fr/pages/avis/?q=idweb:125671" TargetMode="External" Id="rId211"/><Relationship Type="http://schemas.openxmlformats.org/officeDocument/2006/relationships/hyperlink" Target="https://doffin.no/notices/312913" TargetMode="External" Id="rId212"/><Relationship Type="http://schemas.openxmlformats.org/officeDocument/2006/relationships/hyperlink" Target="https://doffin.no/notices/338906" TargetMode="External" Id="rId213"/><Relationship Type="http://schemas.openxmlformats.org/officeDocument/2006/relationships/hyperlink" Target="https://doffin.no/notices/307144" TargetMode="External" Id="rId214"/><Relationship Type="http://schemas.openxmlformats.org/officeDocument/2006/relationships/hyperlink" Target="https://www.tenderned.nl/aankondigingen/overzicht/577684" TargetMode="External" Id="rId215"/><Relationship Type="http://schemas.openxmlformats.org/officeDocument/2006/relationships/hyperlink" Target="https://prozorro.gov.ua/tender/UA-2026-04-08-011067-a" TargetMode="External" Id="rId216"/><Relationship Type="http://schemas.openxmlformats.org/officeDocument/2006/relationships/hyperlink" Target="https://riigihanked.riik.ee/rhr-web/#/procurement/e7bea398-bdab-48f6-aa92-7a15a091c98b" TargetMode="External" Id="rId217"/><Relationship Type="http://schemas.openxmlformats.org/officeDocument/2006/relationships/hyperlink" Target="https://riigihanked.riik.ee/rhr-web/#/procurement/56bb148e-3a67-445c-9f37-efed40677d41" TargetMode="External" Id="rId218"/><Relationship Type="http://schemas.openxmlformats.org/officeDocument/2006/relationships/hyperlink" Target="https://riigihanked.riik.ee/rhr-web/#/procurement/7825c9a9-5907-4b95-ac37-c178c560b1a9" TargetMode="External" Id="rId219"/></Relationships>
</file>

<file path=xl/worksheets/sheet1.xml><?xml version="1.0" encoding="utf-8"?>
<worksheet xmlns="http://schemas.openxmlformats.org/spreadsheetml/2006/main">
  <sheetPr>
    <outlinePr summaryBelow="1" summaryRight="1"/>
    <pageSetUpPr/>
  </sheetPr>
  <dimension ref="B3:Q54"/>
  <sheetViews>
    <sheetView showGridLines="0" zoomScale="70" zoomScaleNormal="70" workbookViewId="0">
      <selection activeCell="D10" sqref="D10"/>
    </sheetView>
  </sheetViews>
  <sheetFormatPr baseColWidth="8" defaultRowHeight="14.4" outlineLevelRow="1"/>
  <cols>
    <col width="0.33203125" customWidth="1" min="2" max="2"/>
    <col width="13" customWidth="1" min="3" max="3"/>
    <col width="11.44140625" customWidth="1" min="4" max="13"/>
    <col width="0.88671875" customWidth="1" min="15" max="15"/>
    <col width="25.77734375" customWidth="1" min="17" max="17"/>
  </cols>
  <sheetData>
    <row r="3" ht="19.5" customHeight="1">
      <c r="B3" s="1" t="n"/>
      <c r="C3" s="3" t="inlineStr">
        <is>
          <t>Market Sizing - Achsenmarkt</t>
        </is>
      </c>
      <c r="D3" s="2" t="n"/>
      <c r="E3" s="2" t="n"/>
      <c r="F3" s="2" t="n"/>
      <c r="G3" s="2" t="n"/>
      <c r="H3" s="2" t="n"/>
      <c r="I3" s="2" t="n"/>
      <c r="J3" s="2" t="n"/>
      <c r="K3" s="2" t="n"/>
      <c r="L3" s="2" t="n"/>
      <c r="M3" s="2" t="n"/>
      <c r="O3" s="2" t="n"/>
      <c r="Q3" s="17" t="inlineStr">
        <is>
          <t>Source</t>
        </is>
      </c>
    </row>
    <row r="5">
      <c r="C5" t="inlineStr">
        <is>
          <t>Scenario</t>
        </is>
      </c>
      <c r="D5" s="11" t="inlineStr">
        <is>
          <t>Agressive</t>
        </is>
      </c>
      <c r="E5" s="12">
        <f>IF(D5="Agressive",1,IF(D5="Base Case",2,3))</f>
        <v/>
      </c>
      <c r="F5" s="12">
        <f>CHOOSE(E5,0.05,0,-0.05)</f>
        <v/>
      </c>
    </row>
    <row r="6">
      <c r="F6" s="12" t="n"/>
    </row>
    <row r="8">
      <c r="C8" s="5" t="inlineStr">
        <is>
          <t>Units in '000</t>
        </is>
      </c>
    </row>
    <row r="9">
      <c r="C9" s="7" t="inlineStr">
        <is>
          <t>Nato-Märkte</t>
        </is>
      </c>
      <c r="D9" s="16" t="inlineStr">
        <is>
          <t>Trailertyp 1</t>
        </is>
      </c>
      <c r="E9" s="16" t="inlineStr">
        <is>
          <t>Trailertyp 2</t>
        </is>
      </c>
      <c r="F9" s="16" t="inlineStr">
        <is>
          <t>Trailertyp 3</t>
        </is>
      </c>
      <c r="G9" s="16" t="inlineStr">
        <is>
          <t>Trailertyp 4</t>
        </is>
      </c>
      <c r="H9" s="16" t="inlineStr">
        <is>
          <t>Trailertyp 5</t>
        </is>
      </c>
      <c r="I9" s="16" t="inlineStr">
        <is>
          <t>Trailertyp 6</t>
        </is>
      </c>
      <c r="J9" s="16" t="inlineStr">
        <is>
          <t>Trailertyp 7</t>
        </is>
      </c>
      <c r="K9" s="16" t="inlineStr">
        <is>
          <t>Trailertyp 8</t>
        </is>
      </c>
      <c r="L9" s="16" t="inlineStr">
        <is>
          <t>Trailertyp 9</t>
        </is>
      </c>
      <c r="M9" s="16" t="inlineStr">
        <is>
          <t>Trailertyp 10</t>
        </is>
      </c>
      <c r="O9" s="2" t="n"/>
    </row>
    <row r="10" outlineLevel="1">
      <c r="C10" s="6" t="inlineStr">
        <is>
          <t>GER</t>
        </is>
      </c>
      <c r="D10" s="10" t="n">
        <v>84.28573923913005</v>
      </c>
      <c r="E10" s="10" t="n">
        <v>31.15942932025452</v>
      </c>
      <c r="F10" s="10" t="n">
        <v>58.39933578113429</v>
      </c>
      <c r="G10" s="10" t="n">
        <v>2.523440880137007</v>
      </c>
      <c r="H10" s="10" t="n">
        <v>25.14267926980082</v>
      </c>
      <c r="I10" s="10" t="n">
        <v>91.37253615732993</v>
      </c>
      <c r="J10" s="10" t="n">
        <v>94.70335762810222</v>
      </c>
      <c r="K10" s="10" t="n">
        <v>46.13852104289711</v>
      </c>
      <c r="L10" s="10" t="n">
        <v>44.89268822520934</v>
      </c>
      <c r="M10" s="10" t="n">
        <v>75.14782807922052</v>
      </c>
      <c r="O10" s="2" t="n"/>
      <c r="Q10" s="18" t="inlineStr">
        <is>
          <t>…</t>
        </is>
      </c>
    </row>
    <row r="11" outlineLevel="1">
      <c r="C11" s="6" t="inlineStr">
        <is>
          <t>UK</t>
        </is>
      </c>
      <c r="D11" s="10" t="n">
        <v>69.87304210869587</v>
      </c>
      <c r="E11" s="10" t="n">
        <v>67.26112427010132</v>
      </c>
      <c r="F11" s="10" t="n">
        <v>9.974678820194182</v>
      </c>
      <c r="G11" s="10" t="n">
        <v>23.48168352227577</v>
      </c>
      <c r="H11" s="10" t="n">
        <v>70.23547130375009</v>
      </c>
      <c r="I11" s="10" t="n">
        <v>21.41861530125744</v>
      </c>
      <c r="J11" s="10" t="n">
        <v>99.42936957538609</v>
      </c>
      <c r="K11" s="10" t="n">
        <v>64.83781246930026</v>
      </c>
      <c r="L11" s="10" t="n">
        <v>94.81607660927644</v>
      </c>
      <c r="M11" s="10" t="n">
        <v>68.60385606766968</v>
      </c>
      <c r="O11" s="2" t="n"/>
      <c r="Q11" s="18" t="inlineStr">
        <is>
          <t>…</t>
        </is>
      </c>
    </row>
    <row r="12" outlineLevel="1">
      <c r="C12" s="6" t="inlineStr">
        <is>
          <t>Italien</t>
        </is>
      </c>
      <c r="D12" s="10" t="n">
        <v>0.2227529279454354</v>
      </c>
      <c r="E12" s="10" t="n">
        <v>48.88630259440503</v>
      </c>
      <c r="F12" s="10" t="n">
        <v>75.83422064221456</v>
      </c>
      <c r="G12" s="10" t="n">
        <v>58.34611370329487</v>
      </c>
      <c r="H12" s="10" t="n">
        <v>99.77025625624547</v>
      </c>
      <c r="I12" s="10" t="n">
        <v>77.90082054293038</v>
      </c>
      <c r="J12" s="10" t="n">
        <v>27.38823111004113</v>
      </c>
      <c r="K12" s="10" t="n">
        <v>70.08003255250638</v>
      </c>
      <c r="L12" s="10" t="n">
        <v>56.70867304515893</v>
      </c>
      <c r="M12" s="10" t="n">
        <v>53.50226608079753</v>
      </c>
      <c r="O12" s="2" t="n"/>
      <c r="Q12" s="18" t="inlineStr">
        <is>
          <t>…</t>
        </is>
      </c>
    </row>
    <row r="13" outlineLevel="1">
      <c r="C13" s="6" t="inlineStr">
        <is>
          <t>Frankreich</t>
        </is>
      </c>
      <c r="D13" s="10" t="n">
        <v>47.05000623126799</v>
      </c>
      <c r="E13" s="10" t="n">
        <v>60.06905879762554</v>
      </c>
      <c r="F13" s="10" t="n">
        <v>52.65406182569345</v>
      </c>
      <c r="G13" s="10" t="n">
        <v>34.38065502219032</v>
      </c>
      <c r="H13" s="10" t="n">
        <v>53.76803467982884</v>
      </c>
      <c r="I13" s="10" t="n">
        <v>7.173392118442701</v>
      </c>
      <c r="J13" s="10" t="n">
        <v>46.44858965746486</v>
      </c>
      <c r="K13" s="10" t="n">
        <v>65.19790897849823</v>
      </c>
      <c r="L13" s="10" t="n">
        <v>77.40802651601331</v>
      </c>
      <c r="M13" s="10" t="n">
        <v>3.537429076415921</v>
      </c>
      <c r="O13" s="2" t="n"/>
      <c r="Q13" s="18" t="inlineStr">
        <is>
          <t>…</t>
        </is>
      </c>
    </row>
    <row r="14" outlineLevel="1">
      <c r="C14" s="6" t="inlineStr">
        <is>
          <t>Spanien</t>
        </is>
      </c>
      <c r="D14" s="10" t="n">
        <v>23.42756148756213</v>
      </c>
      <c r="E14" s="10" t="n">
        <v>99.31658876799276</v>
      </c>
      <c r="F14" s="10" t="n">
        <v>66.36484628149753</v>
      </c>
      <c r="G14" s="10" t="n">
        <v>52.33414778342267</v>
      </c>
      <c r="H14" s="10" t="n">
        <v>74.83018007328887</v>
      </c>
      <c r="I14" s="10" t="n">
        <v>98.08242743124795</v>
      </c>
      <c r="J14" s="10" t="n">
        <v>27.27707658363019</v>
      </c>
      <c r="K14" s="10" t="n">
        <v>4.430845593777599</v>
      </c>
      <c r="L14" s="10" t="n">
        <v>69.93410494649535</v>
      </c>
      <c r="M14" s="10" t="n">
        <v>1.378011179980043</v>
      </c>
      <c r="O14" s="2" t="n"/>
      <c r="Q14" s="18" t="inlineStr">
        <is>
          <t>…</t>
        </is>
      </c>
    </row>
    <row r="15" outlineLevel="1">
      <c r="C15" s="6" t="inlineStr">
        <is>
          <t>EU-27</t>
        </is>
      </c>
      <c r="D15" s="10" t="n">
        <v>99.49217714545934</v>
      </c>
      <c r="E15" s="10" t="n">
        <v>65.46167059279561</v>
      </c>
      <c r="F15" s="10" t="n">
        <v>3.374834178350006</v>
      </c>
      <c r="G15" s="10" t="n">
        <v>12.80392440859785</v>
      </c>
      <c r="H15" s="10" t="n">
        <v>90.5486982056506</v>
      </c>
      <c r="I15" s="10" t="n">
        <v>17.42210515616097</v>
      </c>
      <c r="J15" s="10" t="n">
        <v>23.16806681781878</v>
      </c>
      <c r="K15" s="10" t="n">
        <v>47.98080272227045</v>
      </c>
      <c r="L15" s="10" t="n">
        <v>23.17260042152472</v>
      </c>
      <c r="M15" s="10" t="n">
        <v>10.80712945833712</v>
      </c>
      <c r="O15" s="2" t="n"/>
      <c r="Q15" s="18" t="inlineStr">
        <is>
          <t>…</t>
        </is>
      </c>
    </row>
    <row r="16" outlineLevel="1">
      <c r="C16" s="6" t="inlineStr">
        <is>
          <t>USA</t>
        </is>
      </c>
      <c r="D16" s="10" t="n">
        <v>56.41795650463644</v>
      </c>
      <c r="E16" s="10" t="n">
        <v>83.82888028557116</v>
      </c>
      <c r="F16" s="10" t="n">
        <v>83.92359621287366</v>
      </c>
      <c r="G16" s="10" t="n">
        <v>34.10311299425639</v>
      </c>
      <c r="H16" s="10" t="n">
        <v>90.57988322772999</v>
      </c>
      <c r="I16" s="10" t="n">
        <v>81.73236698970601</v>
      </c>
      <c r="J16" s="10" t="n">
        <v>74.02343870465066</v>
      </c>
      <c r="K16" s="10" t="n">
        <v>21.02907648904221</v>
      </c>
      <c r="L16" s="10" t="n">
        <v>44.86757571659516</v>
      </c>
      <c r="M16" s="10" t="n">
        <v>21.25314564865062</v>
      </c>
      <c r="O16" s="2" t="n"/>
      <c r="Q16" s="18" t="inlineStr">
        <is>
          <t>…</t>
        </is>
      </c>
    </row>
    <row r="17">
      <c r="C17" s="13" t="inlineStr">
        <is>
          <t>Total</t>
        </is>
      </c>
      <c r="D17" s="14">
        <f>SUM(D10:D16)</f>
        <v/>
      </c>
      <c r="E17" s="14">
        <f>SUM(E10:E16)</f>
        <v/>
      </c>
      <c r="F17" s="14">
        <f>SUM(F10:F16)</f>
        <v/>
      </c>
      <c r="G17" s="14">
        <f>SUM(G10:G16)</f>
        <v/>
      </c>
      <c r="H17" s="14">
        <f>SUM(H10:H16)</f>
        <v/>
      </c>
      <c r="I17" s="14">
        <f>SUM(I10:I16)</f>
        <v/>
      </c>
      <c r="J17" s="14">
        <f>SUM(J10:J16)</f>
        <v/>
      </c>
      <c r="K17" s="14">
        <f>SUM(K10:K16)</f>
        <v/>
      </c>
      <c r="L17" s="14">
        <f>SUM(L10:L16)</f>
        <v/>
      </c>
      <c r="M17" s="14">
        <f>SUM(M10:M16)</f>
        <v/>
      </c>
      <c r="O17" s="2" t="n"/>
    </row>
    <row r="18">
      <c r="O18" s="2" t="n"/>
    </row>
    <row r="19">
      <c r="C19" s="5" t="inlineStr">
        <is>
          <t>Avg Preis je Achse</t>
        </is>
      </c>
      <c r="O19" s="2" t="n"/>
    </row>
    <row r="20">
      <c r="C20" s="7" t="inlineStr">
        <is>
          <t>Nato-Märkte</t>
        </is>
      </c>
      <c r="D20" s="16" t="inlineStr">
        <is>
          <t>Trailertyp 1</t>
        </is>
      </c>
      <c r="E20" s="16" t="inlineStr">
        <is>
          <t>Trailertyp 2</t>
        </is>
      </c>
      <c r="F20" s="16" t="inlineStr">
        <is>
          <t>Trailertyp 3</t>
        </is>
      </c>
      <c r="G20" s="16" t="inlineStr">
        <is>
          <t>Trailertyp 4</t>
        </is>
      </c>
      <c r="H20" s="16" t="inlineStr">
        <is>
          <t>Trailertyp 5</t>
        </is>
      </c>
      <c r="I20" s="16" t="inlineStr">
        <is>
          <t>Trailertyp 6</t>
        </is>
      </c>
      <c r="J20" s="16" t="inlineStr">
        <is>
          <t>Trailertyp 7</t>
        </is>
      </c>
      <c r="K20" s="16" t="inlineStr">
        <is>
          <t>Trailertyp 8</t>
        </is>
      </c>
      <c r="L20" s="16" t="inlineStr">
        <is>
          <t>Trailertyp 9</t>
        </is>
      </c>
      <c r="M20" s="16" t="inlineStr">
        <is>
          <t>Trailertyp 10</t>
        </is>
      </c>
      <c r="O20" s="2" t="n"/>
    </row>
    <row r="21" outlineLevel="1">
      <c r="C21" s="6" t="inlineStr">
        <is>
          <t>GER</t>
        </is>
      </c>
      <c r="D21" s="10" t="n">
        <v>3000</v>
      </c>
      <c r="E21" s="10" t="n">
        <v>3000</v>
      </c>
      <c r="F21" s="10" t="n">
        <v>3000</v>
      </c>
      <c r="G21" s="10" t="n">
        <v>3000</v>
      </c>
      <c r="H21" s="10" t="n">
        <v>2000</v>
      </c>
      <c r="I21" s="10" t="n">
        <v>2000</v>
      </c>
      <c r="J21" s="10" t="n">
        <v>2000</v>
      </c>
      <c r="K21" s="10" t="n">
        <v>2000</v>
      </c>
      <c r="L21" s="10" t="n">
        <v>1000</v>
      </c>
      <c r="M21" s="10" t="n">
        <v>1000</v>
      </c>
      <c r="O21" s="2" t="n"/>
      <c r="Q21" s="18" t="inlineStr">
        <is>
          <t>…</t>
        </is>
      </c>
    </row>
    <row r="22" outlineLevel="1">
      <c r="C22" s="6" t="inlineStr">
        <is>
          <t>UK</t>
        </is>
      </c>
      <c r="D22" s="10" t="n">
        <v>3000</v>
      </c>
      <c r="E22" s="10" t="n">
        <v>3000</v>
      </c>
      <c r="F22" s="10" t="n">
        <v>3000</v>
      </c>
      <c r="G22" s="10" t="n">
        <v>3000</v>
      </c>
      <c r="H22" s="10" t="n">
        <v>2000</v>
      </c>
      <c r="I22" s="10" t="n">
        <v>2000</v>
      </c>
      <c r="J22" s="10" t="n">
        <v>2000</v>
      </c>
      <c r="K22" s="10" t="n">
        <v>2000</v>
      </c>
      <c r="L22" s="10" t="n">
        <v>1000</v>
      </c>
      <c r="M22" s="10" t="n">
        <v>1000</v>
      </c>
      <c r="O22" s="2" t="n"/>
      <c r="Q22" s="18" t="inlineStr">
        <is>
          <t>…</t>
        </is>
      </c>
    </row>
    <row r="23" outlineLevel="1">
      <c r="C23" s="6" t="inlineStr">
        <is>
          <t>Italien</t>
        </is>
      </c>
      <c r="D23" s="10" t="n">
        <v>3000</v>
      </c>
      <c r="E23" s="10" t="n">
        <v>3000</v>
      </c>
      <c r="F23" s="10" t="n">
        <v>3000</v>
      </c>
      <c r="G23" s="10" t="n">
        <v>3000</v>
      </c>
      <c r="H23" s="10" t="n">
        <v>2000</v>
      </c>
      <c r="I23" s="10" t="n">
        <v>2000</v>
      </c>
      <c r="J23" s="10" t="n">
        <v>2000</v>
      </c>
      <c r="K23" s="10" t="n">
        <v>2000</v>
      </c>
      <c r="L23" s="10" t="n">
        <v>1000</v>
      </c>
      <c r="M23" s="10" t="n">
        <v>1000</v>
      </c>
      <c r="O23" s="2" t="n"/>
      <c r="Q23" s="18" t="inlineStr">
        <is>
          <t>…</t>
        </is>
      </c>
    </row>
    <row r="24" outlineLevel="1">
      <c r="C24" s="6" t="inlineStr">
        <is>
          <t>Frankreich</t>
        </is>
      </c>
      <c r="D24" s="10" t="n">
        <v>3000</v>
      </c>
      <c r="E24" s="10" t="n">
        <v>3000</v>
      </c>
      <c r="F24" s="10" t="n">
        <v>3000</v>
      </c>
      <c r="G24" s="10" t="n">
        <v>3000</v>
      </c>
      <c r="H24" s="10" t="n">
        <v>2000</v>
      </c>
      <c r="I24" s="10" t="n">
        <v>2000</v>
      </c>
      <c r="J24" s="10" t="n">
        <v>2000</v>
      </c>
      <c r="K24" s="10" t="n">
        <v>2000</v>
      </c>
      <c r="L24" s="10" t="n">
        <v>1000</v>
      </c>
      <c r="M24" s="10" t="n">
        <v>1000</v>
      </c>
      <c r="O24" s="2" t="n"/>
      <c r="Q24" s="18" t="inlineStr">
        <is>
          <t>…</t>
        </is>
      </c>
    </row>
    <row r="25" outlineLevel="1">
      <c r="C25" s="6" t="inlineStr">
        <is>
          <t>Spanien</t>
        </is>
      </c>
      <c r="D25" s="10" t="n">
        <v>3000</v>
      </c>
      <c r="E25" s="10" t="n">
        <v>3000</v>
      </c>
      <c r="F25" s="10" t="n">
        <v>3000</v>
      </c>
      <c r="G25" s="10" t="n">
        <v>3000</v>
      </c>
      <c r="H25" s="10" t="n">
        <v>2000</v>
      </c>
      <c r="I25" s="10" t="n">
        <v>2000</v>
      </c>
      <c r="J25" s="10" t="n">
        <v>2000</v>
      </c>
      <c r="K25" s="10" t="n">
        <v>2000</v>
      </c>
      <c r="L25" s="10" t="n">
        <v>1000</v>
      </c>
      <c r="M25" s="10" t="n">
        <v>1000</v>
      </c>
      <c r="O25" s="2" t="n"/>
      <c r="Q25" s="18" t="inlineStr">
        <is>
          <t>…</t>
        </is>
      </c>
    </row>
    <row r="26" outlineLevel="1">
      <c r="C26" s="6" t="inlineStr">
        <is>
          <t>EU-27</t>
        </is>
      </c>
      <c r="D26" s="10" t="n">
        <v>3000</v>
      </c>
      <c r="E26" s="10" t="n">
        <v>3000</v>
      </c>
      <c r="F26" s="10" t="n">
        <v>3000</v>
      </c>
      <c r="G26" s="10" t="n">
        <v>3000</v>
      </c>
      <c r="H26" s="10" t="n">
        <v>2000</v>
      </c>
      <c r="I26" s="10" t="n">
        <v>2000</v>
      </c>
      <c r="J26" s="10" t="n">
        <v>2000</v>
      </c>
      <c r="K26" s="10" t="n">
        <v>2000</v>
      </c>
      <c r="L26" s="10" t="n">
        <v>1000</v>
      </c>
      <c r="M26" s="10" t="n">
        <v>1000</v>
      </c>
      <c r="O26" s="2" t="n"/>
      <c r="Q26" s="18" t="inlineStr">
        <is>
          <t>…</t>
        </is>
      </c>
    </row>
    <row r="27" outlineLevel="1">
      <c r="C27" s="6" t="inlineStr">
        <is>
          <t>USA</t>
        </is>
      </c>
      <c r="D27" s="10" t="n">
        <v>3000</v>
      </c>
      <c r="E27" s="10" t="n">
        <v>3000</v>
      </c>
      <c r="F27" s="10" t="n">
        <v>3000</v>
      </c>
      <c r="G27" s="10" t="n">
        <v>3000</v>
      </c>
      <c r="H27" s="10" t="n">
        <v>2000</v>
      </c>
      <c r="I27" s="10" t="n">
        <v>2000</v>
      </c>
      <c r="J27" s="10" t="n">
        <v>2000</v>
      </c>
      <c r="K27" s="10" t="n">
        <v>2000</v>
      </c>
      <c r="L27" s="10" t="n">
        <v>1000</v>
      </c>
      <c r="M27" s="10" t="n">
        <v>1000</v>
      </c>
      <c r="O27" s="2" t="n"/>
      <c r="Q27" s="18" t="inlineStr">
        <is>
          <t>…</t>
        </is>
      </c>
    </row>
    <row r="28">
      <c r="O28" s="2" t="n"/>
    </row>
    <row r="29">
      <c r="C29" s="5" t="inlineStr">
        <is>
          <t># Achsen</t>
        </is>
      </c>
      <c r="O29" s="2" t="n"/>
    </row>
    <row r="30">
      <c r="C30" s="7" t="inlineStr">
        <is>
          <t>Nato-Märkte</t>
        </is>
      </c>
      <c r="D30" s="16" t="inlineStr">
        <is>
          <t>Trailertyp 1</t>
        </is>
      </c>
      <c r="E30" s="16" t="inlineStr">
        <is>
          <t>Trailertyp 2</t>
        </is>
      </c>
      <c r="F30" s="16" t="inlineStr">
        <is>
          <t>Trailertyp 3</t>
        </is>
      </c>
      <c r="G30" s="16" t="inlineStr">
        <is>
          <t>Trailertyp 4</t>
        </is>
      </c>
      <c r="H30" s="16" t="inlineStr">
        <is>
          <t>Trailertyp 5</t>
        </is>
      </c>
      <c r="I30" s="16" t="inlineStr">
        <is>
          <t>Trailertyp 6</t>
        </is>
      </c>
      <c r="J30" s="16" t="inlineStr">
        <is>
          <t>Trailertyp 7</t>
        </is>
      </c>
      <c r="K30" s="16" t="inlineStr">
        <is>
          <t>Trailertyp 8</t>
        </is>
      </c>
      <c r="L30" s="16" t="inlineStr">
        <is>
          <t>Trailertyp 9</t>
        </is>
      </c>
      <c r="M30" s="16" t="inlineStr">
        <is>
          <t>Trailertyp 10</t>
        </is>
      </c>
      <c r="O30" s="2" t="n"/>
    </row>
    <row r="31">
      <c r="C31" s="7" t="n"/>
      <c r="D31" s="8" t="n">
        <v>4</v>
      </c>
      <c r="E31" s="8" t="n">
        <v>4</v>
      </c>
      <c r="F31" s="8" t="n">
        <v>4</v>
      </c>
      <c r="G31" s="8" t="n">
        <v>4</v>
      </c>
      <c r="H31" s="8" t="n">
        <v>4</v>
      </c>
      <c r="I31" s="8" t="n">
        <v>4</v>
      </c>
      <c r="J31" s="8" t="n">
        <v>2</v>
      </c>
      <c r="K31" s="8" t="n">
        <v>2</v>
      </c>
      <c r="L31" s="8" t="n">
        <v>2</v>
      </c>
      <c r="M31" s="8" t="n">
        <v>1</v>
      </c>
      <c r="O31" s="2" t="n"/>
      <c r="Q31" s="18" t="inlineStr">
        <is>
          <t>…</t>
        </is>
      </c>
    </row>
    <row r="32">
      <c r="O32" s="2" t="n"/>
    </row>
    <row r="33">
      <c r="C33" s="5" t="inlineStr">
        <is>
          <t>Marktanteil in %</t>
        </is>
      </c>
      <c r="O33" s="2" t="n"/>
    </row>
    <row r="34">
      <c r="C34" s="7" t="inlineStr">
        <is>
          <t>Nato-Märkte</t>
        </is>
      </c>
      <c r="D34" s="16" t="inlineStr">
        <is>
          <t>Trailertyp 1</t>
        </is>
      </c>
      <c r="E34" s="16" t="inlineStr">
        <is>
          <t>Trailertyp 2</t>
        </is>
      </c>
      <c r="F34" s="16" t="inlineStr">
        <is>
          <t>Trailertyp 3</t>
        </is>
      </c>
      <c r="G34" s="16" t="inlineStr">
        <is>
          <t>Trailertyp 4</t>
        </is>
      </c>
      <c r="H34" s="16" t="inlineStr">
        <is>
          <t>Trailertyp 5</t>
        </is>
      </c>
      <c r="I34" s="16" t="inlineStr">
        <is>
          <t>Trailertyp 6</t>
        </is>
      </c>
      <c r="J34" s="16" t="inlineStr">
        <is>
          <t>Trailertyp 7</t>
        </is>
      </c>
      <c r="K34" s="16" t="inlineStr">
        <is>
          <t>Trailertyp 8</t>
        </is>
      </c>
      <c r="L34" s="16" t="inlineStr">
        <is>
          <t>Trailertyp 9</t>
        </is>
      </c>
      <c r="M34" s="16" t="inlineStr">
        <is>
          <t>Trailertyp 10</t>
        </is>
      </c>
      <c r="O34" s="2" t="n"/>
    </row>
    <row r="35" outlineLevel="1">
      <c r="C35" s="6" t="inlineStr">
        <is>
          <t>GER</t>
        </is>
      </c>
      <c r="D35" s="9" t="n">
        <v>0.1</v>
      </c>
      <c r="E35" s="9" t="n">
        <v>0.1</v>
      </c>
      <c r="F35" s="9" t="n">
        <v>0.1</v>
      </c>
      <c r="G35" s="9" t="n">
        <v>0.1</v>
      </c>
      <c r="H35" s="9" t="n">
        <v>0.1</v>
      </c>
      <c r="I35" s="9" t="n">
        <v>0.1</v>
      </c>
      <c r="J35" s="9" t="n">
        <v>0.1</v>
      </c>
      <c r="K35" s="9" t="n">
        <v>0.1</v>
      </c>
      <c r="L35" s="9" t="n">
        <v>0.1</v>
      </c>
      <c r="M35" s="9" t="n">
        <v>0.1</v>
      </c>
      <c r="O35" s="2" t="n"/>
      <c r="Q35" s="18" t="inlineStr">
        <is>
          <t>…</t>
        </is>
      </c>
    </row>
    <row r="36" outlineLevel="1">
      <c r="C36" s="6" t="inlineStr">
        <is>
          <t>UK</t>
        </is>
      </c>
      <c r="D36" s="9" t="n">
        <v>0.1</v>
      </c>
      <c r="E36" s="9" t="n">
        <v>0.1</v>
      </c>
      <c r="F36" s="9" t="n">
        <v>0.1</v>
      </c>
      <c r="G36" s="9" t="n">
        <v>0.1</v>
      </c>
      <c r="H36" s="9" t="n">
        <v>0.1</v>
      </c>
      <c r="I36" s="9" t="n">
        <v>0.1</v>
      </c>
      <c r="J36" s="9" t="n">
        <v>0.1</v>
      </c>
      <c r="K36" s="9" t="n">
        <v>0.1</v>
      </c>
      <c r="L36" s="9" t="n">
        <v>0.1</v>
      </c>
      <c r="M36" s="9" t="n">
        <v>0.1</v>
      </c>
      <c r="O36" s="2" t="n"/>
      <c r="Q36" s="18" t="inlineStr">
        <is>
          <t>…</t>
        </is>
      </c>
    </row>
    <row r="37" outlineLevel="1">
      <c r="C37" s="6" t="inlineStr">
        <is>
          <t>Italien</t>
        </is>
      </c>
      <c r="D37" s="9" t="n">
        <v>0.1</v>
      </c>
      <c r="E37" s="9" t="n">
        <v>0.1</v>
      </c>
      <c r="F37" s="9" t="n">
        <v>0.1</v>
      </c>
      <c r="G37" s="9" t="n">
        <v>0.1</v>
      </c>
      <c r="H37" s="9" t="n">
        <v>0.1</v>
      </c>
      <c r="I37" s="9" t="n">
        <v>0.1</v>
      </c>
      <c r="J37" s="9" t="n">
        <v>0.1</v>
      </c>
      <c r="K37" s="9" t="n">
        <v>0.1</v>
      </c>
      <c r="L37" s="9" t="n">
        <v>0.1</v>
      </c>
      <c r="M37" s="9" t="n">
        <v>0.1</v>
      </c>
      <c r="O37" s="2" t="n"/>
      <c r="Q37" s="18" t="inlineStr">
        <is>
          <t>…</t>
        </is>
      </c>
    </row>
    <row r="38" outlineLevel="1">
      <c r="C38" s="6" t="inlineStr">
        <is>
          <t>Frankreich</t>
        </is>
      </c>
      <c r="D38" s="9" t="n">
        <v>0.1</v>
      </c>
      <c r="E38" s="9" t="n">
        <v>0.1</v>
      </c>
      <c r="F38" s="9" t="n">
        <v>0.1</v>
      </c>
      <c r="G38" s="9" t="n">
        <v>0.1</v>
      </c>
      <c r="H38" s="9" t="n">
        <v>0.1</v>
      </c>
      <c r="I38" s="9" t="n">
        <v>0.1</v>
      </c>
      <c r="J38" s="9" t="n">
        <v>0.1</v>
      </c>
      <c r="K38" s="9" t="n">
        <v>0.1</v>
      </c>
      <c r="L38" s="9" t="n">
        <v>0.1</v>
      </c>
      <c r="M38" s="9" t="n">
        <v>0.1</v>
      </c>
      <c r="O38" s="2" t="n"/>
      <c r="Q38" s="18" t="inlineStr">
        <is>
          <t>…</t>
        </is>
      </c>
    </row>
    <row r="39" outlineLevel="1">
      <c r="C39" s="6" t="inlineStr">
        <is>
          <t>Spanien</t>
        </is>
      </c>
      <c r="D39" s="9" t="n">
        <v>0.1</v>
      </c>
      <c r="E39" s="9" t="n">
        <v>0.1</v>
      </c>
      <c r="F39" s="9" t="n">
        <v>0.1</v>
      </c>
      <c r="G39" s="9" t="n">
        <v>0.1</v>
      </c>
      <c r="H39" s="9" t="n">
        <v>0.1</v>
      </c>
      <c r="I39" s="9" t="n">
        <v>0.1</v>
      </c>
      <c r="J39" s="9" t="n">
        <v>0.1</v>
      </c>
      <c r="K39" s="9" t="n">
        <v>0.1</v>
      </c>
      <c r="L39" s="9" t="n">
        <v>0.1</v>
      </c>
      <c r="M39" s="9" t="n">
        <v>0.1</v>
      </c>
      <c r="O39" s="2" t="n"/>
      <c r="Q39" s="18" t="inlineStr">
        <is>
          <t>…</t>
        </is>
      </c>
    </row>
    <row r="40" outlineLevel="1">
      <c r="C40" s="6" t="inlineStr">
        <is>
          <t>EU-27</t>
        </is>
      </c>
      <c r="D40" s="9" t="n">
        <v>0.1</v>
      </c>
      <c r="E40" s="9" t="n">
        <v>0.1</v>
      </c>
      <c r="F40" s="9" t="n">
        <v>0.1</v>
      </c>
      <c r="G40" s="9" t="n">
        <v>0.1</v>
      </c>
      <c r="H40" s="9" t="n">
        <v>0.1</v>
      </c>
      <c r="I40" s="9" t="n">
        <v>0.1</v>
      </c>
      <c r="J40" s="9" t="n">
        <v>0.1</v>
      </c>
      <c r="K40" s="9" t="n">
        <v>0.1</v>
      </c>
      <c r="L40" s="9" t="n">
        <v>0.1</v>
      </c>
      <c r="M40" s="9" t="n">
        <v>0.1</v>
      </c>
      <c r="O40" s="2" t="n"/>
      <c r="Q40" s="18" t="inlineStr">
        <is>
          <t>…</t>
        </is>
      </c>
    </row>
    <row r="41" outlineLevel="1">
      <c r="C41" s="6" t="inlineStr">
        <is>
          <t>USA</t>
        </is>
      </c>
      <c r="D41" s="9" t="n">
        <v>0.1</v>
      </c>
      <c r="E41" s="9" t="n">
        <v>0.1</v>
      </c>
      <c r="F41" s="9" t="n">
        <v>0.1</v>
      </c>
      <c r="G41" s="9" t="n">
        <v>0.1</v>
      </c>
      <c r="H41" s="9" t="n">
        <v>0.1</v>
      </c>
      <c r="I41" s="9" t="n">
        <v>0.1</v>
      </c>
      <c r="J41" s="9" t="n">
        <v>0.1</v>
      </c>
      <c r="K41" s="9" t="n">
        <v>0.1</v>
      </c>
      <c r="L41" s="9" t="n">
        <v>0.1</v>
      </c>
      <c r="M41" s="9" t="n">
        <v>0.1</v>
      </c>
      <c r="O41" s="2" t="n"/>
      <c r="Q41" s="18" t="inlineStr">
        <is>
          <t>…</t>
        </is>
      </c>
    </row>
    <row r="42">
      <c r="O42" s="2" t="n"/>
    </row>
    <row r="43">
      <c r="C43" s="5" t="inlineStr">
        <is>
          <t>Marktgröße in kEUR</t>
        </is>
      </c>
      <c r="O43" s="2" t="n"/>
    </row>
    <row r="44">
      <c r="C44" s="7" t="inlineStr">
        <is>
          <t>Nato-Märkte</t>
        </is>
      </c>
      <c r="D44" s="16" t="inlineStr">
        <is>
          <t>Trailertyp 1</t>
        </is>
      </c>
      <c r="E44" s="16" t="inlineStr">
        <is>
          <t>Trailertyp 2</t>
        </is>
      </c>
      <c r="F44" s="16" t="inlineStr">
        <is>
          <t>Trailertyp 3</t>
        </is>
      </c>
      <c r="G44" s="16" t="inlineStr">
        <is>
          <t>Trailertyp 4</t>
        </is>
      </c>
      <c r="H44" s="16" t="inlineStr">
        <is>
          <t>Trailertyp 5</t>
        </is>
      </c>
      <c r="I44" s="16" t="inlineStr">
        <is>
          <t>Trailertyp 6</t>
        </is>
      </c>
      <c r="J44" s="16" t="inlineStr">
        <is>
          <t>Trailertyp 7</t>
        </is>
      </c>
      <c r="K44" s="16" t="inlineStr">
        <is>
          <t>Trailertyp 8</t>
        </is>
      </c>
      <c r="L44" s="16" t="inlineStr">
        <is>
          <t>Trailertyp 9</t>
        </is>
      </c>
      <c r="M44" s="16" t="inlineStr">
        <is>
          <t>Trailertyp 10</t>
        </is>
      </c>
      <c r="O44" s="2" t="n"/>
    </row>
    <row r="45" outlineLevel="1">
      <c r="C45" s="6" t="inlineStr">
        <is>
          <t>GER</t>
        </is>
      </c>
      <c r="D45" s="10">
        <f>D10*D21*D$31*MAX(0,D35+$F$5)</f>
        <v/>
      </c>
      <c r="E45" s="10">
        <f>E10*E21*E$31*MAX(0,E35+$F$5)</f>
        <v/>
      </c>
      <c r="F45" s="10">
        <f>F10*F21*F$31*MAX(0,F35+$F$5)</f>
        <v/>
      </c>
      <c r="G45" s="10">
        <f>G10*G21*G$31*MAX(0,G35+$F$5)</f>
        <v/>
      </c>
      <c r="H45" s="10">
        <f>H10*H21*H$31*MAX(0,H35+$F$5)</f>
        <v/>
      </c>
      <c r="I45" s="10">
        <f>I10*I21*I$31*MAX(0,I35+$F$5)</f>
        <v/>
      </c>
      <c r="J45" s="10">
        <f>J10*J21*J$31*MAX(0,J35+$F$5)</f>
        <v/>
      </c>
      <c r="K45" s="10">
        <f>K10*K21*K$31*MAX(0,K35+$F$5)</f>
        <v/>
      </c>
      <c r="L45" s="10">
        <f>L10*L21*L$31*MAX(0,L35+$F$5)</f>
        <v/>
      </c>
      <c r="M45" s="10">
        <f>M10*M21*M$31*MAX(0,M35+$F$5)</f>
        <v/>
      </c>
      <c r="O45" s="2" t="n"/>
      <c r="Q45" s="18" t="inlineStr">
        <is>
          <t>…</t>
        </is>
      </c>
    </row>
    <row r="46" outlineLevel="1">
      <c r="C46" s="6" t="inlineStr">
        <is>
          <t>UK</t>
        </is>
      </c>
      <c r="D46" s="10">
        <f>D11*D22*D$31*MAX(0,D36+$F$5)</f>
        <v/>
      </c>
      <c r="E46" s="10">
        <f>E11*E22*E$31*MAX(0,E36+$F$5)</f>
        <v/>
      </c>
      <c r="F46" s="10">
        <f>F11*F22*F$31*MAX(0,F36+$F$5)</f>
        <v/>
      </c>
      <c r="G46" s="10">
        <f>G11*G22*G$31*MAX(0,G36+$F$5)</f>
        <v/>
      </c>
      <c r="H46" s="10">
        <f>H11*H22*H$31*MAX(0,H36+$F$5)</f>
        <v/>
      </c>
      <c r="I46" s="10">
        <f>I11*I22*I$31*MAX(0,I36+$F$5)</f>
        <v/>
      </c>
      <c r="J46" s="10">
        <f>J11*J22*J$31*MAX(0,J36+$F$5)</f>
        <v/>
      </c>
      <c r="K46" s="10">
        <f>K11*K22*K$31*MAX(0,K36+$F$5)</f>
        <v/>
      </c>
      <c r="L46" s="10">
        <f>L11*L22*L$31*MAX(0,L36+$F$5)</f>
        <v/>
      </c>
      <c r="M46" s="10">
        <f>M11*M22*M$31*MAX(0,M36+$F$5)</f>
        <v/>
      </c>
      <c r="O46" s="2" t="n"/>
      <c r="Q46" s="18" t="inlineStr">
        <is>
          <t>…</t>
        </is>
      </c>
    </row>
    <row r="47" outlineLevel="1">
      <c r="C47" s="6" t="inlineStr">
        <is>
          <t>Italien</t>
        </is>
      </c>
      <c r="D47" s="10">
        <f>D12*D23*D$31*MAX(0,D37+$F$5)</f>
        <v/>
      </c>
      <c r="E47" s="10">
        <f>E12*E23*E$31*MAX(0,E37+$F$5)</f>
        <v/>
      </c>
      <c r="F47" s="10">
        <f>F12*F23*F$31*MAX(0,F37+$F$5)</f>
        <v/>
      </c>
      <c r="G47" s="10">
        <f>G12*G23*G$31*MAX(0,G37+$F$5)</f>
        <v/>
      </c>
      <c r="H47" s="10">
        <f>H12*H23*H$31*MAX(0,H37+$F$5)</f>
        <v/>
      </c>
      <c r="I47" s="10">
        <f>I12*I23*I$31*MAX(0,I37+$F$5)</f>
        <v/>
      </c>
      <c r="J47" s="10">
        <f>J12*J23*J$31*MAX(0,J37+$F$5)</f>
        <v/>
      </c>
      <c r="K47" s="10">
        <f>K12*K23*K$31*MAX(0,K37+$F$5)</f>
        <v/>
      </c>
      <c r="L47" s="10">
        <f>L12*L23*L$31*MAX(0,L37+$F$5)</f>
        <v/>
      </c>
      <c r="M47" s="10">
        <f>M12*M23*M$31*MAX(0,M37+$F$5)</f>
        <v/>
      </c>
      <c r="O47" s="2" t="n"/>
      <c r="Q47" s="18" t="inlineStr">
        <is>
          <t>…</t>
        </is>
      </c>
    </row>
    <row r="48" outlineLevel="1">
      <c r="C48" s="6" t="inlineStr">
        <is>
          <t>Frankreich</t>
        </is>
      </c>
      <c r="D48" s="10">
        <f>D13*D24*D$31*MAX(0,D38+$F$5)</f>
        <v/>
      </c>
      <c r="E48" s="10">
        <f>E13*E24*E$31*MAX(0,E38+$F$5)</f>
        <v/>
      </c>
      <c r="F48" s="10">
        <f>F13*F24*F$31*MAX(0,F38+$F$5)</f>
        <v/>
      </c>
      <c r="G48" s="10">
        <f>G13*G24*G$31*MAX(0,G38+$F$5)</f>
        <v/>
      </c>
      <c r="H48" s="10">
        <f>H13*H24*H$31*MAX(0,H38+$F$5)</f>
        <v/>
      </c>
      <c r="I48" s="10">
        <f>I13*I24*I$31*MAX(0,I38+$F$5)</f>
        <v/>
      </c>
      <c r="J48" s="10">
        <f>J13*J24*J$31*MAX(0,J38+$F$5)</f>
        <v/>
      </c>
      <c r="K48" s="10">
        <f>K13*K24*K$31*MAX(0,K38+$F$5)</f>
        <v/>
      </c>
      <c r="L48" s="10">
        <f>L13*L24*L$31*MAX(0,L38+$F$5)</f>
        <v/>
      </c>
      <c r="M48" s="10">
        <f>M13*M24*M$31*MAX(0,M38+$F$5)</f>
        <v/>
      </c>
      <c r="O48" s="2" t="n"/>
      <c r="Q48" s="18" t="inlineStr">
        <is>
          <t>…</t>
        </is>
      </c>
    </row>
    <row r="49" outlineLevel="1">
      <c r="C49" s="6" t="inlineStr">
        <is>
          <t>Spanien</t>
        </is>
      </c>
      <c r="D49" s="10">
        <f>D14*D25*D$31*MAX(0,D39+$F$5)</f>
        <v/>
      </c>
      <c r="E49" s="10">
        <f>E14*E25*E$31*MAX(0,E39+$F$5)</f>
        <v/>
      </c>
      <c r="F49" s="10">
        <f>F14*F25*F$31*MAX(0,F39+$F$5)</f>
        <v/>
      </c>
      <c r="G49" s="10">
        <f>G14*G25*G$31*MAX(0,G39+$F$5)</f>
        <v/>
      </c>
      <c r="H49" s="10">
        <f>H14*H25*H$31*MAX(0,H39+$F$5)</f>
        <v/>
      </c>
      <c r="I49" s="10">
        <f>I14*I25*I$31*MAX(0,I39+$F$5)</f>
        <v/>
      </c>
      <c r="J49" s="10">
        <f>J14*J25*J$31*MAX(0,J39+$F$5)</f>
        <v/>
      </c>
      <c r="K49" s="10">
        <f>K14*K25*K$31*MAX(0,K39+$F$5)</f>
        <v/>
      </c>
      <c r="L49" s="10">
        <f>L14*L25*L$31*MAX(0,L39+$F$5)</f>
        <v/>
      </c>
      <c r="M49" s="10">
        <f>M14*M25*M$31*MAX(0,M39+$F$5)</f>
        <v/>
      </c>
      <c r="O49" s="2" t="n"/>
      <c r="Q49" s="18" t="inlineStr">
        <is>
          <t>…</t>
        </is>
      </c>
    </row>
    <row r="50" outlineLevel="1">
      <c r="C50" s="6" t="inlineStr">
        <is>
          <t>EU-27</t>
        </is>
      </c>
      <c r="D50" s="10">
        <f>D15*D26*D$31*MAX(0,D40+$F$5)</f>
        <v/>
      </c>
      <c r="E50" s="10">
        <f>E15*E26*E$31*MAX(0,E40+$F$5)</f>
        <v/>
      </c>
      <c r="F50" s="10">
        <f>F15*F26*F$31*MAX(0,F40+$F$5)</f>
        <v/>
      </c>
      <c r="G50" s="10">
        <f>G15*G26*G$31*MAX(0,G40+$F$5)</f>
        <v/>
      </c>
      <c r="H50" s="10">
        <f>H15*H26*H$31*MAX(0,H40+$F$5)</f>
        <v/>
      </c>
      <c r="I50" s="10">
        <f>I15*I26*I$31*MAX(0,I40+$F$5)</f>
        <v/>
      </c>
      <c r="J50" s="10">
        <f>J15*J26*J$31*MAX(0,J40+$F$5)</f>
        <v/>
      </c>
      <c r="K50" s="10">
        <f>K15*K26*K$31*MAX(0,K40+$F$5)</f>
        <v/>
      </c>
      <c r="L50" s="10">
        <f>L15*L26*L$31*MAX(0,L40+$F$5)</f>
        <v/>
      </c>
      <c r="M50" s="10">
        <f>M15*M26*M$31*MAX(0,M40+$F$5)</f>
        <v/>
      </c>
      <c r="O50" s="2" t="n"/>
      <c r="Q50" s="18" t="inlineStr">
        <is>
          <t>…</t>
        </is>
      </c>
    </row>
    <row r="51" outlineLevel="1">
      <c r="C51" s="6" t="inlineStr">
        <is>
          <t>USA</t>
        </is>
      </c>
      <c r="D51" s="10">
        <f>D16*D27*D$31*MAX(0,D41+$F$5)</f>
        <v/>
      </c>
      <c r="E51" s="10">
        <f>E16*E27*E$31*MAX(0,E41+$F$5)</f>
        <v/>
      </c>
      <c r="F51" s="10">
        <f>F16*F27*F$31*MAX(0,F41+$F$5)</f>
        <v/>
      </c>
      <c r="G51" s="10">
        <f>G16*G27*G$31*MAX(0,G41+$F$5)</f>
        <v/>
      </c>
      <c r="H51" s="10">
        <f>H16*H27*H$31*MAX(0,H41+$F$5)</f>
        <v/>
      </c>
      <c r="I51" s="10">
        <f>I16*I27*I$31*MAX(0,I41+$F$5)</f>
        <v/>
      </c>
      <c r="J51" s="10">
        <f>J16*J27*J$31*MAX(0,J41+$F$5)</f>
        <v/>
      </c>
      <c r="K51" s="10">
        <f>K16*K27*K$31*MAX(0,K41+$F$5)</f>
        <v/>
      </c>
      <c r="L51" s="10">
        <f>L16*L27*L$31*MAX(0,L41+$F$5)</f>
        <v/>
      </c>
      <c r="M51" s="10">
        <f>M16*M27*M$31*MAX(0,M41+$F$5)</f>
        <v/>
      </c>
      <c r="O51" s="2" t="n"/>
      <c r="Q51" s="18" t="inlineStr">
        <is>
          <t>…</t>
        </is>
      </c>
    </row>
    <row r="52">
      <c r="C52" s="13" t="inlineStr">
        <is>
          <t>Total</t>
        </is>
      </c>
      <c r="D52" s="14">
        <f>SUM(D45:D51)</f>
        <v/>
      </c>
      <c r="E52" s="14">
        <f>SUM(E45:E51)</f>
        <v/>
      </c>
      <c r="F52" s="14">
        <f>SUM(F45:F51)</f>
        <v/>
      </c>
      <c r="G52" s="14">
        <f>SUM(G45:G51)</f>
        <v/>
      </c>
      <c r="H52" s="14">
        <f>SUM(H45:H51)</f>
        <v/>
      </c>
      <c r="I52" s="14">
        <f>SUM(I45:I51)</f>
        <v/>
      </c>
      <c r="J52" s="14">
        <f>SUM(J45:J51)</f>
        <v/>
      </c>
      <c r="K52" s="14">
        <f>SUM(K45:K51)</f>
        <v/>
      </c>
      <c r="L52" s="14">
        <f>SUM(L45:L51)</f>
        <v/>
      </c>
      <c r="M52" s="14">
        <f>SUM(M45:M51)</f>
        <v/>
      </c>
      <c r="O52" s="2" t="n"/>
    </row>
    <row r="53" ht="15" customHeight="1" thickBot="1">
      <c r="O53" s="2" t="n"/>
    </row>
    <row r="54" ht="15" customHeight="1" thickBot="1">
      <c r="C54" s="4" t="inlineStr">
        <is>
          <t>Gesamtmarkt</t>
        </is>
      </c>
      <c r="D54" s="15">
        <f>SUM(D52:M52)</f>
        <v/>
      </c>
      <c r="O54" s="2" t="n"/>
    </row>
  </sheetData>
  <dataValidations disablePrompts="1" count="1">
    <dataValidation sqref="D5" showDropDown="0" showInputMessage="1" showErrorMessage="1" allowBlank="1" type="list">
      <formula1>"Agressive,Base Case,Conservative"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223"/>
  <sheetViews>
    <sheetView showGridLines="0" tabSelected="1" zoomScale="130" zoomScaleNormal="130" workbookViewId="0">
      <selection activeCell="B1" sqref="B1"/>
    </sheetView>
  </sheetViews>
  <sheetFormatPr baseColWidth="8" defaultRowHeight="14.4"/>
  <cols>
    <col width="3" customWidth="1" min="1" max="1"/>
    <col width="16" customWidth="1" min="2" max="2"/>
    <col width="55" customWidth="1" min="3" max="3"/>
    <col width="14" customWidth="1" min="4" max="4"/>
    <col width="35" customWidth="1" min="5" max="5"/>
    <col width="16" customWidth="1" min="6" max="6"/>
    <col width="12" customWidth="1" min="7" max="7"/>
    <col width="18" customWidth="1" min="8" max="8"/>
    <col width="10" customWidth="1" min="9" max="9"/>
    <col width="18" customWidth="1" min="10" max="10"/>
    <col width="35" customWidth="1" min="11" max="11"/>
    <col width="18" customWidth="1" min="12" max="12"/>
    <col width="14" customWidth="1" min="13" max="13"/>
    <col width="35" customWidth="1" min="14" max="14"/>
    <col width="18" customWidth="1" min="15" max="15"/>
    <col width="14" customWidth="1" min="16" max="16"/>
    <col width="35" customWidth="1" min="17" max="17"/>
    <col width="14" customWidth="1" min="18" max="18"/>
    <col width="16" customWidth="1" min="19" max="19"/>
    <col width="30" customWidth="1" min="20" max="20"/>
    <col width="45" customWidth="1" min="21" max="21"/>
    <col width="65" customWidth="1" min="22" max="22"/>
    <col width="14" customWidth="1" min="23" max="23"/>
    <col width="45" customWidth="1" min="24" max="24"/>
  </cols>
  <sheetData>
    <row r="1">
      <c r="A1" s="19" t="n"/>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row>
    <row r="2">
      <c r="A2" s="19" t="n"/>
      <c r="B2" s="21" t="inlineStr">
        <is>
          <t>BPW Defense | Tender Portals</t>
        </is>
      </c>
      <c r="C2" s="21" t="n"/>
      <c r="D2" s="21" t="n"/>
      <c r="E2" s="21" t="n"/>
      <c r="F2" s="21" t="n"/>
      <c r="H2" s="21" t="n"/>
      <c r="I2" s="21" t="n"/>
      <c r="J2" s="21" t="n"/>
      <c r="K2" s="21" t="n"/>
      <c r="L2" s="21" t="n"/>
      <c r="M2" s="21" t="n"/>
      <c r="N2" s="21" t="n"/>
      <c r="O2" s="21" t="n"/>
      <c r="P2" s="21" t="n"/>
      <c r="Q2" s="21" t="n"/>
      <c r="R2" s="21" t="n"/>
      <c r="S2" s="21" t="n"/>
      <c r="T2" s="19" t="n"/>
      <c r="U2" s="19" t="n"/>
      <c r="V2" s="19" t="n"/>
      <c r="W2" s="19" t="n"/>
      <c r="X2" s="19" t="n"/>
      <c r="Y2" s="19" t="n"/>
    </row>
    <row r="3">
      <c r="A3" s="19" t="n"/>
      <c r="B3" s="19" t="n"/>
      <c r="C3" s="19" t="n"/>
      <c r="D3" s="19" t="n"/>
      <c r="E3" s="19" t="n"/>
      <c r="F3" s="19" t="n"/>
      <c r="H3" s="19" t="n"/>
      <c r="I3" s="19" t="n"/>
      <c r="J3" s="19" t="n"/>
      <c r="K3" s="19" t="n"/>
      <c r="L3" s="19" t="n"/>
      <c r="M3" s="19" t="n"/>
      <c r="N3" s="19" t="n"/>
      <c r="O3" s="19" t="n"/>
      <c r="P3" s="19" t="n"/>
      <c r="Q3" s="19" t="n"/>
      <c r="R3" s="19" t="n"/>
      <c r="S3" s="19" t="n"/>
      <c r="T3" s="19" t="n"/>
      <c r="U3" s="19" t="n"/>
      <c r="V3" s="19" t="n"/>
      <c r="W3" s="19" t="n"/>
      <c r="X3" s="19" t="n"/>
      <c r="Y3" s="19" t="n"/>
    </row>
    <row r="4" ht="35" customHeight="1">
      <c r="A4" s="19" t="n"/>
      <c r="B4" s="24" t="inlineStr">
        <is>
          <t>Tender ID</t>
        </is>
      </c>
      <c r="C4" s="24" t="inlineStr">
        <is>
          <t>Title</t>
        </is>
      </c>
      <c r="D4" s="24" t="inlineStr">
        <is>
          <t>Country</t>
        </is>
      </c>
      <c r="E4" s="24" t="inlineStr">
        <is>
          <t>Authority</t>
        </is>
      </c>
      <c r="F4" s="24" t="inlineStr">
        <is>
          <t>Publication Date</t>
        </is>
      </c>
      <c r="G4" s="22" t="inlineStr">
        <is>
          <t>Status</t>
        </is>
      </c>
      <c r="H4" s="24" t="inlineStr">
        <is>
          <t>Est. Value</t>
        </is>
      </c>
      <c r="I4" s="24" t="inlineStr">
        <is>
          <t>Currency</t>
        </is>
      </c>
      <c r="J4" s="24" t="inlineStr">
        <is>
          <t>Est. Value (EUR)</t>
        </is>
      </c>
      <c r="K4" s="24" t="inlineStr">
        <is>
          <t>Trailer Type (1)</t>
        </is>
      </c>
      <c r="L4" s="24" t="inlineStr">
        <is>
          <t>Category (1)</t>
        </is>
      </c>
      <c r="M4" s="24" t="inlineStr">
        <is>
          <t>Quantity (1)</t>
        </is>
      </c>
      <c r="N4" s="25" t="inlineStr">
        <is>
          <t>Trailer Type (2)</t>
        </is>
      </c>
      <c r="O4" s="25" t="inlineStr">
        <is>
          <t>Category (2)</t>
        </is>
      </c>
      <c r="P4" s="25" t="inlineStr">
        <is>
          <t>Quantity (2)</t>
        </is>
      </c>
      <c r="Q4" s="24" t="inlineStr">
        <is>
          <t>Additional Equip.</t>
        </is>
      </c>
      <c r="R4" s="24" t="inlineStr">
        <is>
          <t>Additional Qty</t>
        </is>
      </c>
      <c r="S4" s="24" t="inlineStr">
        <is>
          <t>Contract Duration</t>
        </is>
      </c>
      <c r="T4" s="24" t="inlineStr">
        <is>
          <t>Winner</t>
        </is>
      </c>
      <c r="U4" s="24" t="inlineStr">
        <is>
          <t>Source URL (TED)</t>
        </is>
      </c>
      <c r="V4" s="24" t="inlineStr">
        <is>
          <t>Description</t>
        </is>
      </c>
      <c r="W4" s="23" t="inlineStr">
        <is>
          <t>Source</t>
        </is>
      </c>
      <c r="X4" s="23" t="inlineStr">
        <is>
          <t>Source URL (National)</t>
        </is>
      </c>
      <c r="Y4" s="19" t="n"/>
    </row>
    <row r="5" ht="45" customHeight="1">
      <c r="A5" s="19" t="n"/>
      <c r="B5" s="26" t="inlineStr">
        <is>
          <t>182178-2026</t>
        </is>
      </c>
      <c r="C5" s="26" t="inlineStr">
        <is>
          <t>Sweden - Aircraft Maintenance Trailers Framework Agreement</t>
        </is>
      </c>
      <c r="D5" s="26" t="inlineStr">
        <is>
          <t>Sweden</t>
        </is>
      </c>
      <c r="E5" s="26" t="inlineStr">
        <is>
          <t>FMV</t>
        </is>
      </c>
      <c r="F5" s="27" t="n">
        <v>46098</v>
      </c>
      <c r="G5" s="26" t="inlineStr">
        <is>
          <t>Awarded</t>
        </is>
      </c>
      <c r="H5" s="28" t="n">
        <v>99850000</v>
      </c>
      <c r="I5" s="26" t="inlineStr">
        <is>
          <t>SEK</t>
        </is>
      </c>
      <c r="J5" s="28" t="n">
        <v>8686950</v>
      </c>
      <c r="K5" s="26" t="inlineStr">
        <is>
          <t>Aircraft maintenance trailer</t>
        </is>
      </c>
      <c r="L5" s="26" t="inlineStr">
        <is>
          <t>Special Purpose</t>
        </is>
      </c>
      <c r="M5" s="26" t="n"/>
      <c r="N5" s="26" t="inlineStr"/>
      <c r="O5" s="26" t="inlineStr"/>
      <c r="P5" s="26" t="n"/>
      <c r="Q5" s="26" t="inlineStr"/>
      <c r="R5" s="26" t="n"/>
      <c r="S5" s="26" t="inlineStr">
        <is>
          <t>36 months</t>
        </is>
      </c>
      <c r="T5" s="26" t="inlineStr">
        <is>
          <t>AUTOMECANICA MEDIAS</t>
        </is>
      </c>
      <c r="U5" s="29" t="inlineStr">
        <is>
          <t>https://ted.europa.eu/en/notice/-/detail/182178-2026</t>
        </is>
      </c>
      <c r="V5" s="26" t="inlineStr">
        <is>
          <t>Framework agreement for aircraft maintenance trailers for the Swedish Armed Forces.</t>
        </is>
      </c>
      <c r="W5" s="26" t="inlineStr">
        <is>
          <t>TED</t>
        </is>
      </c>
      <c r="X5" s="26" t="inlineStr"/>
      <c r="Y5" s="19" t="n"/>
    </row>
    <row r="6" ht="45" customHeight="1">
      <c r="A6" s="19" t="n"/>
      <c r="B6" s="26" t="inlineStr">
        <is>
          <t>326948-2025</t>
        </is>
      </c>
      <c r="C6" s="26" t="inlineStr">
        <is>
          <t>Military Medical Trailers Role 1 &amp; 2</t>
        </is>
      </c>
      <c r="D6" s="26" t="inlineStr">
        <is>
          <t>Netherlands</t>
        </is>
      </c>
      <c r="E6" s="26" t="inlineStr">
        <is>
          <t>Ministry of Defense</t>
        </is>
      </c>
      <c r="F6" s="27" t="n">
        <v>45798</v>
      </c>
      <c r="G6" s="26" t="inlineStr">
        <is>
          <t>Awarded</t>
        </is>
      </c>
      <c r="H6" s="28" t="n">
        <v>1400000</v>
      </c>
      <c r="I6" s="26" t="inlineStr">
        <is>
          <t>EUR</t>
        </is>
      </c>
      <c r="J6" s="28" t="n">
        <v>1400000</v>
      </c>
      <c r="K6" s="26" t="inlineStr">
        <is>
          <t>Military medical trailer for Role 1 &amp; 2 operations</t>
        </is>
      </c>
      <c r="L6" s="26" t="inlineStr">
        <is>
          <t>Mission Module</t>
        </is>
      </c>
      <c r="M6" s="28" t="n">
        <v>40</v>
      </c>
      <c r="N6" s="26" t="inlineStr"/>
      <c r="O6" s="26" t="inlineStr"/>
      <c r="P6" s="26" t="n"/>
      <c r="Q6" s="26" t="inlineStr"/>
      <c r="R6" s="26" t="n"/>
      <c r="S6" s="26" t="inlineStr">
        <is>
          <t>15 years maintenance</t>
        </is>
      </c>
      <c r="T6" s="26" t="inlineStr">
        <is>
          <t>KITE Mezőgazdasági Szolgáltató és Kereskedelmi Zártkörűen Működő Részvénytársaság</t>
        </is>
      </c>
      <c r="U6" s="29" t="inlineStr">
        <is>
          <t>https://ted.europa.eu/en/notice/-/detail/326948-2025</t>
        </is>
      </c>
      <c r="V6" s="26" t="inlineStr">
        <is>
          <t>Design and delivery of 40 military trailers (28 firm + 12 optional) for transporting Lightweight Highly Mobile infrastructure systems and generators for Role 1 &amp; 2 medical operations, including 15 years maintenance.</t>
        </is>
      </c>
      <c r="W6" s="26" t="inlineStr">
        <is>
          <t>TED</t>
        </is>
      </c>
      <c r="X6" s="26" t="inlineStr"/>
      <c r="Y6" s="19" t="n"/>
    </row>
    <row r="7" ht="45" customHeight="1">
      <c r="A7" s="19" t="n"/>
      <c r="B7" s="26" t="inlineStr">
        <is>
          <t>530666-2024</t>
        </is>
      </c>
      <c r="C7" s="26" t="inlineStr">
        <is>
          <t>Denmark - Trailers under 3500 kg - Civil and Military Off-road Trailers</t>
        </is>
      </c>
      <c r="D7" s="26" t="inlineStr">
        <is>
          <t>Denmark</t>
        </is>
      </c>
      <c r="E7" s="26" t="inlineStr">
        <is>
          <t>Forsvarsministeriets Materiel- og Indkøbsstyrelse</t>
        </is>
      </c>
      <c r="F7" s="27" t="n">
        <v>45539</v>
      </c>
      <c r="G7" s="26" t="inlineStr">
        <is>
          <t>Awarded</t>
        </is>
      </c>
      <c r="H7" s="28" t="n">
        <v>100000000</v>
      </c>
      <c r="I7" s="26" t="inlineStr">
        <is>
          <t>DKK</t>
        </is>
      </c>
      <c r="J7" s="28" t="n">
        <v>13400000</v>
      </c>
      <c r="K7" s="26" t="inlineStr">
        <is>
          <t>Civilian trailers under 3.5t (various variants)</t>
        </is>
      </c>
      <c r="L7" s="26" t="inlineStr">
        <is>
          <t>Cargo Trailer</t>
        </is>
      </c>
      <c r="M7" s="26" t="n"/>
      <c r="N7" s="26" t="inlineStr">
        <is>
          <t>Military off-road trailers under 3.5t</t>
        </is>
      </c>
      <c r="O7" s="26" t="inlineStr">
        <is>
          <t>Cargo Trailer</t>
        </is>
      </c>
      <c r="P7" s="26" t="n"/>
      <c r="Q7" s="26" t="inlineStr"/>
      <c r="R7" s="26" t="n"/>
      <c r="S7" s="26" t="inlineStr">
        <is>
          <t>4 Years</t>
        </is>
      </c>
      <c r="T7" s="26" t="inlineStr">
        <is>
          <t>Brdr. Plagborg A/S</t>
        </is>
      </c>
      <c r="U7" s="29" t="inlineStr">
        <is>
          <t>https://ted.europa.eu/en/notice/-/detail/530666-2024</t>
        </is>
      </c>
      <c r="V7" s="26" t="inlineStr">
        <is>
          <t>Two-part procurement: Part 1 covers various civilian trailer variants with minor modification services. Part 2 covers military off-road trailers with modification and delivery services. Contract includes limited service scope for modifications and delivery of trailers.</t>
        </is>
      </c>
      <c r="W7" s="26" t="inlineStr">
        <is>
          <t>TED</t>
        </is>
      </c>
      <c r="X7" s="26" t="inlineStr"/>
      <c r="Y7" s="19" t="n"/>
    </row>
    <row r="8" ht="45" customHeight="1">
      <c r="A8" s="19" t="n"/>
      <c r="B8" s="26" t="inlineStr">
        <is>
          <t>537199-2024</t>
        </is>
      </c>
      <c r="C8" s="26" t="inlineStr">
        <is>
          <t>Mobile Fuel Distribution and Storage System</t>
        </is>
      </c>
      <c r="D8" s="26" t="inlineStr">
        <is>
          <t>Norway</t>
        </is>
      </c>
      <c r="E8" s="26" t="inlineStr">
        <is>
          <t>NORWEGIAN DEFENCE MATERIEL AGENCY</t>
        </is>
      </c>
      <c r="F8" s="27" t="n">
        <v>45541</v>
      </c>
      <c r="G8" s="26" t="inlineStr">
        <is>
          <t>Awarded</t>
        </is>
      </c>
      <c r="H8" s="28" t="n">
        <v>1000000000</v>
      </c>
      <c r="I8" s="26" t="inlineStr">
        <is>
          <t>NOK</t>
        </is>
      </c>
      <c r="J8" s="28" t="n">
        <v>85000000</v>
      </c>
      <c r="K8" s="26" t="inlineStr">
        <is>
          <t>Mobile fuel distribution and storage trailer system</t>
        </is>
      </c>
      <c r="L8" s="26" t="inlineStr">
        <is>
          <t>Tank Trailer</t>
        </is>
      </c>
      <c r="M8" s="26" t="n"/>
      <c r="N8" s="26" t="inlineStr"/>
      <c r="O8" s="26" t="inlineStr"/>
      <c r="P8" s="26" t="n"/>
      <c r="Q8" s="26" t="inlineStr"/>
      <c r="R8" s="26" t="n"/>
      <c r="S8" s="26" t="inlineStr"/>
      <c r="T8" s="26" t="inlineStr">
        <is>
          <t>GENOVESE UMBERTO SRL</t>
        </is>
      </c>
      <c r="U8" s="29" t="inlineStr">
        <is>
          <t>https://ted.europa.eu/en/notice/-/detail/537199-2024</t>
        </is>
      </c>
      <c r="V8" s="26" t="inlineStr">
        <is>
          <t>Framework agreements for procurement and maintenance of mobile fuel distribution and storage system for Norwegian Defence</t>
        </is>
      </c>
      <c r="W8" s="26" t="inlineStr">
        <is>
          <t>TED</t>
        </is>
      </c>
      <c r="X8" s="26" t="inlineStr"/>
      <c r="Y8" s="19" t="n"/>
    </row>
    <row r="9" ht="45" customHeight="1">
      <c r="A9" s="19" t="n"/>
      <c r="B9" s="26" t="inlineStr">
        <is>
          <t>749251-2025</t>
        </is>
      </c>
      <c r="C9" s="26" t="inlineStr">
        <is>
          <t>Sweden - Boat Transport Trailers Framework Agreement</t>
        </is>
      </c>
      <c r="D9" s="26" t="inlineStr">
        <is>
          <t>Sweden</t>
        </is>
      </c>
      <c r="E9" s="26" t="inlineStr">
        <is>
          <t>FMV</t>
        </is>
      </c>
      <c r="F9" s="27" t="n">
        <v>45973</v>
      </c>
      <c r="G9" s="26" t="inlineStr">
        <is>
          <t>Closed</t>
        </is>
      </c>
      <c r="H9" s="28" t="n">
        <v>160000000</v>
      </c>
      <c r="I9" s="26" t="inlineStr">
        <is>
          <t>SEK</t>
        </is>
      </c>
      <c r="J9" s="28" t="n">
        <v>13920000</v>
      </c>
      <c r="K9" s="26" t="inlineStr">
        <is>
          <t>Boat transport trailer with launching capability (boats up to 13m)</t>
        </is>
      </c>
      <c r="L9" s="26" t="inlineStr">
        <is>
          <t>Special Purpose</t>
        </is>
      </c>
      <c r="M9" s="26" t="n"/>
      <c r="N9" s="26" t="inlineStr"/>
      <c r="O9" s="26" t="inlineStr"/>
      <c r="P9" s="26" t="n"/>
      <c r="Q9" s="26" t="inlineStr"/>
      <c r="R9" s="26" t="n"/>
      <c r="S9" s="26" t="inlineStr">
        <is>
          <t>84 months</t>
        </is>
      </c>
      <c r="T9" s="26" t="inlineStr"/>
      <c r="U9" s="29" t="inlineStr">
        <is>
          <t>https://ted.europa.eu/en/notice/-/detail/749251-2025</t>
        </is>
      </c>
      <c r="V9" s="26" t="inlineStr">
        <is>
          <t>7-year framework agreement for boat transport trailers that also function as launching trailers. The trailers will be procured for both the Navy and Home Guard for boats up to 13m in size.</t>
        </is>
      </c>
      <c r="W9" s="26" t="inlineStr">
        <is>
          <t>TED</t>
        </is>
      </c>
      <c r="X9" s="26" t="inlineStr"/>
      <c r="Y9" s="19" t="n"/>
    </row>
    <row r="10" ht="45" customHeight="1">
      <c r="B10" s="26" t="inlineStr">
        <is>
          <t>345761-2025</t>
        </is>
      </c>
      <c r="C10" s="26" t="inlineStr">
        <is>
          <t>Netherlands - Boat trailers for Royal Navy rubber boat transport</t>
        </is>
      </c>
      <c r="D10" s="26" t="inlineStr">
        <is>
          <t>Netherlands</t>
        </is>
      </c>
      <c r="E10" s="26" t="inlineStr">
        <is>
          <t>Ministerie van Defensie</t>
        </is>
      </c>
      <c r="F10" s="27" t="n">
        <v>45805</v>
      </c>
      <c r="G10" s="26" t="inlineStr">
        <is>
          <t>Awarded</t>
        </is>
      </c>
      <c r="H10" s="28" t="n">
        <v>540000</v>
      </c>
      <c r="I10" s="26" t="inlineStr">
        <is>
          <t>EUR</t>
        </is>
      </c>
      <c r="J10" s="28" t="n">
        <v>540000</v>
      </c>
      <c r="K10" s="26" t="inlineStr">
        <is>
          <t>Boat trailer for rubber boat transport</t>
        </is>
      </c>
      <c r="L10" s="26" t="inlineStr">
        <is>
          <t>Special Purpose</t>
        </is>
      </c>
      <c r="M10" s="28" t="n">
        <v>39</v>
      </c>
      <c r="N10" s="26" t="inlineStr"/>
      <c r="O10" s="26" t="inlineStr"/>
      <c r="P10" s="26" t="n"/>
      <c r="Q10" s="26" t="inlineStr">
        <is>
          <t>15x optional boat trailers</t>
        </is>
      </c>
      <c r="R10" s="28" t="n">
        <v>15</v>
      </c>
      <c r="S10" s="26" t="inlineStr">
        <is>
          <t>4 Years</t>
        </is>
      </c>
      <c r="T10" s="26" t="inlineStr">
        <is>
          <t>Vlemmix Aanhangwagens</t>
        </is>
      </c>
      <c r="U10" s="29" t="inlineStr">
        <is>
          <t>https://ted.europa.eu/en/notice/-/detail/345761-2025</t>
        </is>
      </c>
      <c r="V10" s="26" t="inlineStr">
        <is>
          <t>Procurement by Royal Navy (CZSK) for replacement of 27 boat trailers plus expansion with 12 additional units, totaling 39 boat trailers. Additional 15 trailers as options. For transport of various rubber boats over land - hard V-bottom, soft bottom, with inboard/outboard motors. Purchase only, no maintenance.</t>
        </is>
      </c>
      <c r="W10" s="26" t="inlineStr">
        <is>
          <t>TED</t>
        </is>
      </c>
      <c r="X10" s="26" t="inlineStr"/>
    </row>
    <row r="11" ht="45" customHeight="1">
      <c r="B11" s="26" t="inlineStr">
        <is>
          <t>432811-2024</t>
        </is>
      </c>
      <c r="C11" s="26" t="inlineStr">
        <is>
          <t>Supply of High, Medium and Small Capacity Transport Trailers</t>
        </is>
      </c>
      <c r="D11" s="26" t="inlineStr">
        <is>
          <t>Poland</t>
        </is>
      </c>
      <c r="E11" s="26" t="inlineStr">
        <is>
          <t>12 WOJSKOWY ODDZIAŁ GOSPODARCZY</t>
        </is>
      </c>
      <c r="F11" s="27" t="n">
        <v>45491</v>
      </c>
      <c r="G11" s="26" t="inlineStr">
        <is>
          <t>Awarded</t>
        </is>
      </c>
      <c r="H11" s="28" t="n">
        <v>9987500</v>
      </c>
      <c r="I11" s="26" t="inlineStr">
        <is>
          <t>PLN</t>
        </is>
      </c>
      <c r="J11" s="28" t="n">
        <v>2327088</v>
      </c>
      <c r="K11" s="26" t="inlineStr">
        <is>
          <t>High capacity transport trailer</t>
        </is>
      </c>
      <c r="L11" s="26" t="inlineStr">
        <is>
          <t>Cargo Trailer</t>
        </is>
      </c>
      <c r="M11" s="26" t="n"/>
      <c r="N11" s="26" t="inlineStr">
        <is>
          <t>Medium capacity transport trailer</t>
        </is>
      </c>
      <c r="O11" s="26" t="inlineStr">
        <is>
          <t>Cargo Trailer</t>
        </is>
      </c>
      <c r="P11" s="26" t="n"/>
      <c r="Q11" s="26" t="inlineStr">
        <is>
          <t>Small capacity transport trailers</t>
        </is>
      </c>
      <c r="R11" s="26" t="n"/>
      <c r="S11" s="26" t="inlineStr"/>
      <c r="T11" s="26" t="inlineStr">
        <is>
          <t>ZASŁAW SPÓŁKA Z OGRANICZONĄ ODPOWIEDZIALNOŚCIĄ</t>
        </is>
      </c>
      <c r="U11" s="29" t="inlineStr">
        <is>
          <t>https://ted.europa.eu/en/notice/-/detail/432811-2024</t>
        </is>
      </c>
      <c r="V11" s="26" t="inlineStr">
        <is>
          <t>Supply of transport trailers in three capacity categories: high capacity transport trailers, medium capacity transport trailers, and small capacity transport trailers for military use</t>
        </is>
      </c>
      <c r="W11" s="26" t="inlineStr">
        <is>
          <t>TED</t>
        </is>
      </c>
      <c r="X11" s="26" t="inlineStr"/>
    </row>
    <row r="12" ht="45" customHeight="1">
      <c r="B12" s="26" t="inlineStr">
        <is>
          <t>488694-2022</t>
        </is>
      </c>
      <c r="C12" s="26" t="inlineStr">
        <is>
          <t>Aircraft Fuel Tank Semi-trailers 29,000L with Service and Spare Parts</t>
        </is>
      </c>
      <c r="D12" s="26" t="inlineStr">
        <is>
          <t>Denmark</t>
        </is>
      </c>
      <c r="E12" s="26" t="inlineStr">
        <is>
          <t>Danish Ministry of Defence Acquisition and Logistics Organisation</t>
        </is>
      </c>
      <c r="F12" s="27" t="n">
        <v>44811</v>
      </c>
      <c r="G12" s="26" t="inlineStr">
        <is>
          <t>Closed</t>
        </is>
      </c>
      <c r="H12" s="26" t="n"/>
      <c r="I12" s="26" t="inlineStr"/>
      <c r="J12" s="26" t="n"/>
      <c r="K12" s="26" t="inlineStr">
        <is>
          <t>Aircraft fuel tank semi-trailer 29,000L minimum</t>
        </is>
      </c>
      <c r="L12" s="26" t="inlineStr">
        <is>
          <t>Tank Trailer</t>
        </is>
      </c>
      <c r="M12" s="28" t="n">
        <v>22</v>
      </c>
      <c r="N12" s="26" t="inlineStr"/>
      <c r="O12" s="26" t="inlineStr"/>
      <c r="P12" s="26" t="n"/>
      <c r="Q12" s="26" t="inlineStr">
        <is>
          <t>Service and spare parts</t>
        </is>
      </c>
      <c r="R12" s="26" t="n"/>
      <c r="S12" s="26" t="inlineStr"/>
      <c r="T12" s="26" t="inlineStr"/>
      <c r="U12" s="29" t="inlineStr">
        <is>
          <t>https://ted.europa.eu/en/notice/-/detail/488694-2022</t>
        </is>
      </c>
      <c r="V12" s="26" t="inlineStr">
        <is>
          <t>Danish Ministry of Defence market survey for procurement of up to 22 aircraft fuel tank semi-trailers with minimum 29,000L capacity, including associated service and spare parts. This is preparation for upcoming tender process.</t>
        </is>
      </c>
      <c r="W12" s="26" t="inlineStr">
        <is>
          <t>TED</t>
        </is>
      </c>
      <c r="X12" s="26" t="inlineStr"/>
    </row>
    <row r="13" ht="45" customHeight="1">
      <c r="B13" s="26" t="inlineStr">
        <is>
          <t>95616-2026</t>
        </is>
      </c>
      <c r="C13" s="26" t="inlineStr">
        <is>
          <t>Mobile fuel tank and storage systems with multi-year support contract</t>
        </is>
      </c>
      <c r="D13" s="26" t="inlineStr">
        <is>
          <t>Belgium</t>
        </is>
      </c>
      <c r="E13" s="26" t="inlineStr">
        <is>
          <t>Ministère de la Défense</t>
        </is>
      </c>
      <c r="F13" s="27" t="n">
        <v>46063</v>
      </c>
      <c r="G13" s="26" t="inlineStr">
        <is>
          <t>Open</t>
        </is>
      </c>
      <c r="H13" s="26" t="n"/>
      <c r="I13" s="26" t="inlineStr"/>
      <c r="J13" s="26" t="n"/>
      <c r="K13" s="26" t="inlineStr">
        <is>
          <t>Mobile fuel tank and storage system</t>
        </is>
      </c>
      <c r="L13" s="26" t="inlineStr">
        <is>
          <t>Tank Trailer</t>
        </is>
      </c>
      <c r="M13" s="26" t="n"/>
      <c r="N13" s="26" t="inlineStr"/>
      <c r="O13" s="26" t="inlineStr"/>
      <c r="P13" s="26" t="n"/>
      <c r="Q13" s="26" t="inlineStr">
        <is>
          <t>Multi-year support contract for spare parts, maintenance, repair, technical support</t>
        </is>
      </c>
      <c r="R13" s="26" t="n"/>
      <c r="S13" s="26" t="inlineStr">
        <is>
          <t>Multi-year for equipment lifetime</t>
        </is>
      </c>
      <c r="T13" s="26" t="inlineStr"/>
      <c r="U13" s="29" t="inlineStr">
        <is>
          <t>https://ted.europa.eu/en/notice/-/detail/95616-2026</t>
        </is>
      </c>
      <c r="V13" s="26" t="inlineStr">
        <is>
          <t>Acquisition of mobile fuel refueling and storage systems coupled with open multi-year contract for lifetime support including spare parts, maintenance, repair, technical support and services for Belgian Defense and Luxembourg Army.</t>
        </is>
      </c>
      <c r="W13" s="26" t="inlineStr">
        <is>
          <t>TED</t>
        </is>
      </c>
      <c r="X13" s="26" t="inlineStr"/>
    </row>
    <row r="14" ht="45" customHeight="1">
      <c r="B14" s="26" t="inlineStr">
        <is>
          <t>255376-2025</t>
        </is>
      </c>
      <c r="C14" s="26" t="inlineStr">
        <is>
          <t>Belgium - Military Tractors and Semi-trailers Acquisition (99+18 tractors, 94+18 semi-trailers)</t>
        </is>
      </c>
      <c r="D14" s="26" t="inlineStr">
        <is>
          <t>Belgium</t>
        </is>
      </c>
      <c r="E14" s="26" t="inlineStr">
        <is>
          <t>Ministère de la Défense</t>
        </is>
      </c>
      <c r="F14" s="27" t="n">
        <v>45765</v>
      </c>
      <c r="G14" s="26" t="inlineStr">
        <is>
          <t>Awarded</t>
        </is>
      </c>
      <c r="H14" s="28" t="n">
        <v>82026013.27</v>
      </c>
      <c r="I14" s="26" t="inlineStr">
        <is>
          <t>EUR</t>
        </is>
      </c>
      <c r="J14" s="28" t="n">
        <v>82026013</v>
      </c>
      <c r="K14" s="26" t="inlineStr">
        <is>
          <t>Territorial/commercial deployable semi-trailer</t>
        </is>
      </c>
      <c r="L14" s="26" t="inlineStr">
        <is>
          <t>Semitrailer</t>
        </is>
      </c>
      <c r="M14" s="28" t="n">
        <v>94</v>
      </c>
      <c r="N14" s="26" t="inlineStr">
        <is>
          <t>Operational/protected semi-trailer</t>
        </is>
      </c>
      <c r="O14" s="26" t="inlineStr">
        <is>
          <t>Semitrailer</t>
        </is>
      </c>
      <c r="P14" s="28" t="n">
        <v>18</v>
      </c>
      <c r="Q14" s="26" t="inlineStr">
        <is>
          <t>117x tractor units (99 territorial + 18 protected)</t>
        </is>
      </c>
      <c r="R14" s="28" t="n">
        <v>117</v>
      </c>
      <c r="S14" s="26" t="inlineStr">
        <is>
          <t>Multi-year technical assistance contract</t>
        </is>
      </c>
      <c r="T14" s="26" t="inlineStr">
        <is>
          <t>IVECO DEFENCE VEHICLES</t>
        </is>
      </c>
      <c r="U14" s="29" t="inlineStr">
        <is>
          <t>https://ted.europa.eu/en/notice/-/detail/255376-2025</t>
        </is>
      </c>
      <c r="V14" s="26" t="inlineStr">
        <is>
          <t>Lot 1: Acquisition of territorial deployable equipment (99 tractors and 94 semi-trailers) with multi-year technical assistance contract. Lot 2: Acquisition of operational protected equipment (18 protected tractors and 18 semi-trailers) with multi-year technical assistance contract.</t>
        </is>
      </c>
      <c r="W14" s="26" t="inlineStr">
        <is>
          <t>TED</t>
        </is>
      </c>
      <c r="X14" s="26" t="inlineStr"/>
    </row>
    <row r="15" ht="45" customHeight="1">
      <c r="B15" s="26" t="inlineStr">
        <is>
          <t>118630-2024</t>
        </is>
      </c>
      <c r="C15" s="26" t="inlineStr">
        <is>
          <t>Denmark - Heavy Trailers over 3500 kg Market Survey</t>
        </is>
      </c>
      <c r="D15" s="26" t="inlineStr">
        <is>
          <t>Denmark</t>
        </is>
      </c>
      <c r="E15" s="26" t="inlineStr">
        <is>
          <t>Danish Ministry of Defence Acquisition and Logistics Organisation</t>
        </is>
      </c>
      <c r="F15" s="27" t="n">
        <v>45349</v>
      </c>
      <c r="G15" s="26" t="inlineStr">
        <is>
          <t>Awarded</t>
        </is>
      </c>
      <c r="H15" s="26" t="n"/>
      <c r="I15" s="26" t="inlineStr"/>
      <c r="J15" s="26" t="n"/>
      <c r="K15" s="26" t="inlineStr">
        <is>
          <t>Military trailer over 3500kg (type not specified in notice)</t>
        </is>
      </c>
      <c r="L15" s="26" t="inlineStr">
        <is>
          <t>Cargo Trailer</t>
        </is>
      </c>
      <c r="M15" s="26" t="n"/>
      <c r="N15" s="26" t="inlineStr"/>
      <c r="O15" s="26" t="inlineStr"/>
      <c r="P15" s="26" t="n"/>
      <c r="Q15" s="26" t="inlineStr"/>
      <c r="R15" s="26" t="n"/>
      <c r="S15" s="26" t="inlineStr"/>
      <c r="T15" s="26" t="inlineStr">
        <is>
          <t>Gewa Karosserie -und Fahrzeugbau GmbH</t>
        </is>
      </c>
      <c r="U15" s="29" t="inlineStr">
        <is>
          <t>https://ted.europa.eu/en/notice/-/detail/118630-2024</t>
        </is>
      </c>
      <c r="V15" s="26" t="inlineStr">
        <is>
          <t>DALO conducting market survey for future tender of trailers over 3500kg. Seeking supplier information on market structure and categories through market dialogue process. Response deadline March 15th.</t>
        </is>
      </c>
      <c r="W15" s="26" t="inlineStr">
        <is>
          <t>TED</t>
        </is>
      </c>
      <c r="X15" s="26" t="inlineStr"/>
    </row>
    <row r="16" ht="45" customHeight="1">
      <c r="B16" s="26" t="inlineStr">
        <is>
          <t>283775-2022</t>
        </is>
      </c>
      <c r="C16" s="26" t="inlineStr">
        <is>
          <t>Military Trailers - Car/Van Trailers, Truck Trailers, and Forklift Trailers</t>
        </is>
      </c>
      <c r="D16" s="26" t="inlineStr">
        <is>
          <t>Germany</t>
        </is>
      </c>
      <c r="E16" s="26" t="inlineStr">
        <is>
          <t>BwFuhrparkService GmbH</t>
        </is>
      </c>
      <c r="F16" s="27" t="n">
        <v>44708</v>
      </c>
      <c r="G16" s="26" t="inlineStr">
        <is>
          <t>Closed</t>
        </is>
      </c>
      <c r="H16" s="28" t="n">
        <v>102029897</v>
      </c>
      <c r="I16" s="26" t="inlineStr">
        <is>
          <t>EUR</t>
        </is>
      </c>
      <c r="J16" s="28" t="n">
        <v>102029897</v>
      </c>
      <c r="K16" s="26" t="inlineStr">
        <is>
          <t>Non-air brake trailers up to 3.5t for cars/vans (cargo, tipper, boat, box, transport trailers)</t>
        </is>
      </c>
      <c r="L16" s="26" t="inlineStr">
        <is>
          <t>Cargo Trailer</t>
        </is>
      </c>
      <c r="M16" s="26" t="n"/>
      <c r="N16" s="26" t="inlineStr">
        <is>
          <t>Air brake trailers for trucks</t>
        </is>
      </c>
      <c r="O16" s="26" t="inlineStr">
        <is>
          <t>Cargo Trailer</t>
        </is>
      </c>
      <c r="P16" s="26" t="n"/>
      <c r="Q16" s="26" t="inlineStr">
        <is>
          <t>Forklift trailers with maintenance services</t>
        </is>
      </c>
      <c r="R16" s="26" t="n"/>
      <c r="S16" s="26" t="inlineStr">
        <is>
          <t>48 months</t>
        </is>
      </c>
      <c r="T16" s="26" t="inlineStr"/>
      <c r="U16" s="29" t="inlineStr">
        <is>
          <t>https://ted.europa.eu/en/notice/-/detail/283775-2022</t>
        </is>
      </c>
      <c r="V16" s="26" t="inlineStr">
        <is>
          <t>Supply of trailers in three lots: Lot 1 - non-air brake trailers for cars/vans/transporters up to 3.5t; Lot 2 - air brake trailers for trucks; Lot 3 - trailers for forklifts including maintenance. Includes delivery, training, spare parts, diagnostic equipment, modifications and related services.</t>
        </is>
      </c>
      <c r="W16" s="26" t="inlineStr">
        <is>
          <t>TED</t>
        </is>
      </c>
      <c r="X16" s="26" t="inlineStr"/>
    </row>
    <row r="17" ht="45" customHeight="1">
      <c r="B17" s="26" t="inlineStr">
        <is>
          <t>207812-2024</t>
        </is>
      </c>
      <c r="C17" s="26" t="inlineStr">
        <is>
          <t>Ireland - Supply and Delivery of Aircraft Refuelling Trailers</t>
        </is>
      </c>
      <c r="D17" s="26" t="inlineStr">
        <is>
          <t>Ireland</t>
        </is>
      </c>
      <c r="E17" s="26" t="inlineStr">
        <is>
          <t>Irish Defence Forces_1144</t>
        </is>
      </c>
      <c r="F17" s="27" t="n">
        <v>45391</v>
      </c>
      <c r="G17" s="26" t="inlineStr">
        <is>
          <t>Closed</t>
        </is>
      </c>
      <c r="H17" s="28" t="n">
        <v>900000</v>
      </c>
      <c r="I17" s="26" t="inlineStr">
        <is>
          <t>EUR</t>
        </is>
      </c>
      <c r="J17" s="28" t="n">
        <v>900000</v>
      </c>
      <c r="K17" s="26" t="inlineStr">
        <is>
          <t>Aircraft refuelling semitrailer 25,000L</t>
        </is>
      </c>
      <c r="L17" s="26" t="inlineStr">
        <is>
          <t>Tank Trailer</t>
        </is>
      </c>
      <c r="M17" s="28" t="n">
        <v>1</v>
      </c>
      <c r="N17" s="26" t="inlineStr">
        <is>
          <t>Aircraft refuelling semitrailer 36,000L</t>
        </is>
      </c>
      <c r="O17" s="26" t="inlineStr">
        <is>
          <t>Tank Trailer</t>
        </is>
      </c>
      <c r="P17" s="28" t="n">
        <v>1</v>
      </c>
      <c r="Q17" s="26" t="inlineStr"/>
      <c r="R17" s="26" t="n"/>
      <c r="S17" s="26" t="inlineStr"/>
      <c r="T17" s="26" t="inlineStr"/>
      <c r="U17" s="29" t="inlineStr">
        <is>
          <t>https://ted.europa.eu/en/notice/-/detail/207812-2024</t>
        </is>
      </c>
      <c r="V17" s="26" t="inlineStr">
        <is>
          <t>The Department of Defence (Defence Forces) requires supply and delivery of two semi-trailer Aircraft Refuelling trailers to support Air Corps fixed and rotary wing fleet operations in Ireland. Procurement divided into 2 lots: Lot 1 Semi trailer No. 1 (25,000L) and Lot 2 Semi trailer No. 2 (36,000L).</t>
        </is>
      </c>
      <c r="W17" s="26" t="inlineStr">
        <is>
          <t>TED</t>
        </is>
      </c>
      <c r="X17" s="26" t="inlineStr"/>
    </row>
    <row r="18" ht="45" customHeight="1">
      <c r="B18" s="26" t="inlineStr">
        <is>
          <t>711549-2022</t>
        </is>
      </c>
      <c r="C18" s="26" t="inlineStr">
        <is>
          <t>Military Trailers and Semi-trailers for Heavy Equipment Transport</t>
        </is>
      </c>
      <c r="D18" s="26" t="inlineStr">
        <is>
          <t>Netherlands</t>
        </is>
      </c>
      <c r="E18" s="26" t="inlineStr">
        <is>
          <t>Ministerie van Defensie</t>
        </is>
      </c>
      <c r="F18" s="27" t="n">
        <v>44916</v>
      </c>
      <c r="G18" s="26" t="inlineStr">
        <is>
          <t>Closed</t>
        </is>
      </c>
      <c r="H18" s="26" t="n"/>
      <c r="I18" s="26" t="inlineStr"/>
      <c r="J18" s="26" t="n"/>
      <c r="K18" s="26" t="inlineStr">
        <is>
          <t>165kN heavy duty trailer for hook-lift truck</t>
        </is>
      </c>
      <c r="L18" s="26" t="inlineStr">
        <is>
          <t>Cargo Trailer</t>
        </is>
      </c>
      <c r="M18" s="28" t="n">
        <v>125</v>
      </c>
      <c r="N18" s="26" t="inlineStr">
        <is>
          <t>280-700kN heavy equipment transport semi-trailer</t>
        </is>
      </c>
      <c r="O18" s="26" t="inlineStr">
        <is>
          <t>Semitrailer</t>
        </is>
      </c>
      <c r="P18" s="28" t="n">
        <v>95</v>
      </c>
      <c r="Q18" s="26" t="inlineStr">
        <is>
          <t>570x 30kN water/general purpose module trailers</t>
        </is>
      </c>
      <c r="R18" s="28" t="n">
        <v>570</v>
      </c>
      <c r="S18" s="26" t="inlineStr"/>
      <c r="T18" s="26" t="inlineStr"/>
      <c r="U18" s="29" t="inlineStr">
        <is>
          <t>https://ted.europa.eu/en/notice/-/detail/711549-2022</t>
        </is>
      </c>
      <c r="V18" s="26" t="inlineStr">
        <is>
          <t>Procurement of military trailers and semi-trailers in two lots: Lot 1 includes 165kN trailers for hook-lift trucks and 30kN trailers for water/general purpose modules (695 units total). Lot 2 includes heavy semi-trailers from 280kN to 700kN capacity for heavy equipment transport (135 units total). Contract includes delivery and maintenance.</t>
        </is>
      </c>
      <c r="W18" s="26" t="inlineStr">
        <is>
          <t>TED</t>
        </is>
      </c>
      <c r="X18" s="26" t="inlineStr"/>
    </row>
    <row r="19" ht="45" customHeight="1">
      <c r="B19" s="26" t="inlineStr">
        <is>
          <t>465260-2025</t>
        </is>
      </c>
      <c r="C19" s="26" t="inlineStr">
        <is>
          <t>Semi-trailers for Heavy Military Equipment Transport</t>
        </is>
      </c>
      <c r="D19" s="26" t="inlineStr">
        <is>
          <t>Czech Republic</t>
        </is>
      </c>
      <c r="E19" s="26" t="inlineStr">
        <is>
          <t>VOP CZ, s.p</t>
        </is>
      </c>
      <c r="F19" s="27" t="n">
        <v>45854</v>
      </c>
      <c r="G19" s="26" t="inlineStr">
        <is>
          <t>Closed</t>
        </is>
      </c>
      <c r="H19" s="28" t="n">
        <v>15000000</v>
      </c>
      <c r="I19" s="26" t="inlineStr">
        <is>
          <t>CZK</t>
        </is>
      </c>
      <c r="J19" s="28" t="n">
        <v>600000</v>
      </c>
      <c r="K19" s="26" t="inlineStr">
        <is>
          <t>Heavy military equipment transport semi-trailer</t>
        </is>
      </c>
      <c r="L19" s="26" t="inlineStr">
        <is>
          <t>Low-Bed</t>
        </is>
      </c>
      <c r="M19" s="26" t="n"/>
      <c r="N19" s="26" t="inlineStr"/>
      <c r="O19" s="26" t="inlineStr"/>
      <c r="P19" s="26" t="n"/>
      <c r="Q19" s="26" t="inlineStr"/>
      <c r="R19" s="26" t="n"/>
      <c r="S19" s="26" t="inlineStr">
        <is>
          <t>15 months</t>
        </is>
      </c>
      <c r="T19" s="26" t="inlineStr"/>
      <c r="U19" s="29" t="inlineStr">
        <is>
          <t>https://ted.europa.eu/en/notice/-/detail/465260-2025</t>
        </is>
      </c>
      <c r="V19" s="26" t="inlineStr">
        <is>
          <t>Procurement of semi-trailers for transporting heavy military equipment</t>
        </is>
      </c>
      <c r="W19" s="26" t="inlineStr">
        <is>
          <t>TED</t>
        </is>
      </c>
      <c r="X19" s="26" t="inlineStr"/>
    </row>
    <row r="20" ht="45" customHeight="1">
      <c r="B20" s="26" t="inlineStr">
        <is>
          <t>682847-2024</t>
        </is>
      </c>
      <c r="C20" s="26" t="inlineStr">
        <is>
          <t>Germany - Military Cargo Trailers 3.5t and 12.5t</t>
        </is>
      </c>
      <c r="D20" s="26" t="inlineStr">
        <is>
          <t>Germany</t>
        </is>
      </c>
      <c r="E20" s="26" t="inlineStr">
        <is>
          <t>Bundesamt für Ausrüstung, Informationstechnik und Nutzung der Bundeswehr</t>
        </is>
      </c>
      <c r="F20" s="27" t="n">
        <v>45604</v>
      </c>
      <c r="G20" s="26" t="inlineStr">
        <is>
          <t>Awarded</t>
        </is>
      </c>
      <c r="H20" s="26" t="n"/>
      <c r="I20" s="26" t="inlineStr"/>
      <c r="J20" s="26" t="n"/>
      <c r="K20" s="26" t="inlineStr">
        <is>
          <t>3.5t 2-axle cargo trailer</t>
        </is>
      </c>
      <c r="L20" s="26" t="inlineStr">
        <is>
          <t>Cargo Trailer</t>
        </is>
      </c>
      <c r="M20" s="28" t="n">
        <v>4600</v>
      </c>
      <c r="N20" s="26" t="inlineStr">
        <is>
          <t>12.5t 4-axle cargo trailer</t>
        </is>
      </c>
      <c r="O20" s="26" t="inlineStr">
        <is>
          <t>Cargo Trailer</t>
        </is>
      </c>
      <c r="P20" s="28" t="n">
        <v>5100</v>
      </c>
      <c r="Q20" s="26" t="inlineStr"/>
      <c r="R20" s="26" t="n"/>
      <c r="S20" s="26" t="inlineStr">
        <is>
          <t>84 months</t>
        </is>
      </c>
      <c r="T20" s="26" t="inlineStr">
        <is>
          <t>Schmitz Cargobull AG</t>
        </is>
      </c>
      <c r="U20" s="29" t="inlineStr">
        <is>
          <t>https://ted.europa.eu/en/notice/-/detail/682847-2024</t>
        </is>
      </c>
      <c r="V20" s="26" t="inlineStr">
        <is>
          <t>Framework agreement for manufacturing and delivery of up to 4,600x 2-wheel 3.5t trailers and up to 5,100x 4-wheel 12.5t trailers for the German Armed Forces</t>
        </is>
      </c>
      <c r="W20" s="26" t="inlineStr">
        <is>
          <t>TED</t>
        </is>
      </c>
      <c r="X20" s="26" t="inlineStr"/>
    </row>
    <row r="21" ht="45" customHeight="1">
      <c r="B21" s="26" t="inlineStr">
        <is>
          <t>212474-2026</t>
        </is>
      </c>
      <c r="C21" s="26" t="inlineStr">
        <is>
          <t>Germany - 2-wheel 1t military trailers framework agreement</t>
        </is>
      </c>
      <c r="D21" s="26" t="inlineStr">
        <is>
          <t>Germany</t>
        </is>
      </c>
      <c r="E21" s="26" t="inlineStr">
        <is>
          <t>Bundesamt für Ausrüstung, Informationstechnik und Nutzung der Bundeswehr</t>
        </is>
      </c>
      <c r="F21" s="27" t="n">
        <v>46108</v>
      </c>
      <c r="G21" s="26" t="inlineStr">
        <is>
          <t>Open</t>
        </is>
      </c>
      <c r="H21" s="26" t="n"/>
      <c r="I21" s="26" t="inlineStr"/>
      <c r="J21" s="26" t="n"/>
      <c r="K21" s="26" t="inlineStr">
        <is>
          <t>1-ton 2-wheel cargo trailer</t>
        </is>
      </c>
      <c r="L21" s="26" t="inlineStr">
        <is>
          <t>Cargo Trailer</t>
        </is>
      </c>
      <c r="M21" s="28" t="n">
        <v>480</v>
      </c>
      <c r="N21" s="26" t="inlineStr"/>
      <c r="O21" s="26" t="inlineStr"/>
      <c r="P21" s="26" t="n"/>
      <c r="Q21" s="26" t="inlineStr">
        <is>
          <t>Spare parts, 4x special tool sets, documentation, training services</t>
        </is>
      </c>
      <c r="R21" s="26" t="n"/>
      <c r="S21" s="26" t="inlineStr">
        <is>
          <t>84 months</t>
        </is>
      </c>
      <c r="T21" s="26" t="inlineStr"/>
      <c r="U21" s="29" t="inlineStr">
        <is>
          <t>https://ted.europa.eu/en/notice/-/detail/212474-2026</t>
        </is>
      </c>
      <c r="V21" s="26" t="inlineStr">
        <is>
          <t>7-year framework agreement for manufacturing and delivery of up to 480 two-wheel 1-ton trailers including accessories, spare parts, special tools, documentation, cataloging data, risk assessment, manufacturing documents, and training services</t>
        </is>
      </c>
      <c r="W21" s="26" t="inlineStr">
        <is>
          <t>TED</t>
        </is>
      </c>
      <c r="X21" s="26" t="inlineStr"/>
    </row>
    <row r="22" ht="45" customHeight="1">
      <c r="B22" s="26" t="inlineStr">
        <is>
          <t>231675-2021</t>
        </is>
      </c>
      <c r="C22" s="26" t="inlineStr">
        <is>
          <t>Baggage, Pallet and Air Freight Transport Trailers</t>
        </is>
      </c>
      <c r="D22" s="26" t="inlineStr">
        <is>
          <t>France</t>
        </is>
      </c>
      <c r="E22" s="26" t="inlineStr">
        <is>
          <t>Minarm/Dmaé</t>
        </is>
      </c>
      <c r="F22" s="27" t="n">
        <v>44323</v>
      </c>
      <c r="G22" s="26" t="inlineStr">
        <is>
          <t>Closed</t>
        </is>
      </c>
      <c r="H22" s="26" t="n"/>
      <c r="I22" s="26" t="inlineStr"/>
      <c r="J22" s="26" t="n"/>
      <c r="K22" s="26" t="inlineStr">
        <is>
          <t>Baggage transport trailer</t>
        </is>
      </c>
      <c r="L22" s="26" t="inlineStr">
        <is>
          <t>Special Purpose</t>
        </is>
      </c>
      <c r="M22" s="28" t="n">
        <v>64</v>
      </c>
      <c r="N22" s="26" t="inlineStr">
        <is>
          <t>Coupled pallet transport trailer</t>
        </is>
      </c>
      <c r="O22" s="26" t="inlineStr">
        <is>
          <t>Special Purpose</t>
        </is>
      </c>
      <c r="P22" s="26" t="n"/>
      <c r="Q22" s="26" t="inlineStr">
        <is>
          <t>Air freight transport trailers</t>
        </is>
      </c>
      <c r="R22" s="26" t="n"/>
      <c r="S22" s="26" t="inlineStr">
        <is>
          <t>60 months</t>
        </is>
      </c>
      <c r="T22" s="26" t="inlineStr"/>
      <c r="U22" s="29" t="inlineStr">
        <is>
          <t>https://ted.europa.eu/en/notice/-/detail/231675-2021</t>
        </is>
      </c>
      <c r="V22" s="26" t="inlineStr">
        <is>
          <t>Acquisition of baggage trailers, coupled pallet trailers, and air freight transport trailers with associated services for military forces. Equipment used for transporting baggage during air stopovers, materials on coupled pallets or 20-foot aeronautical containers, and materials on pallets. Trailers operated between aircraft and unloading docks by airport tractors.</t>
        </is>
      </c>
      <c r="W22" s="26" t="inlineStr">
        <is>
          <t>TED</t>
        </is>
      </c>
      <c r="X22" s="26" t="inlineStr"/>
    </row>
    <row r="23" ht="45" customHeight="1">
      <c r="B23" s="26" t="inlineStr">
        <is>
          <t>161258-2025</t>
        </is>
      </c>
      <c r="C23" s="26" t="inlineStr">
        <is>
          <t>Container Trailer with Roll-off Containers</t>
        </is>
      </c>
      <c r="D23" s="26" t="inlineStr">
        <is>
          <t>Germany</t>
        </is>
      </c>
      <c r="E23" s="26" t="inlineStr">
        <is>
          <t>Bundesamt für Infrastruktur, Umweltschutz und Dienstleistungen der Bundeswehr</t>
        </is>
      </c>
      <c r="F23" s="27" t="n">
        <v>45728</v>
      </c>
      <c r="G23" s="26" t="inlineStr">
        <is>
          <t>Awarded</t>
        </is>
      </c>
      <c r="H23" s="26" t="n"/>
      <c r="I23" s="26" t="inlineStr">
        <is>
          <t>EUR</t>
        </is>
      </c>
      <c r="J23" s="26" t="n"/>
      <c r="K23" s="26" t="inlineStr">
        <is>
          <t>Container trailer with roll-off system</t>
        </is>
      </c>
      <c r="L23" s="26" t="inlineStr">
        <is>
          <t>Loading System</t>
        </is>
      </c>
      <c r="M23" s="28" t="n">
        <v>1</v>
      </c>
      <c r="N23" s="26" t="inlineStr"/>
      <c r="O23" s="26" t="inlineStr"/>
      <c r="P23" s="26" t="n"/>
      <c r="Q23" s="26" t="inlineStr">
        <is>
          <t>7x roll-off containers</t>
        </is>
      </c>
      <c r="R23" s="28" t="n">
        <v>7</v>
      </c>
      <c r="S23" s="26" t="inlineStr">
        <is>
          <t>1 day</t>
        </is>
      </c>
      <c r="T23" s="26" t="inlineStr">
        <is>
          <t>Raiffeisen Technik Ostküste GmbH</t>
        </is>
      </c>
      <c r="U23" s="29" t="inlineStr">
        <is>
          <t>https://ted.europa.eu/en/notice/-/detail/161258-2025</t>
        </is>
      </c>
      <c r="V23" s="26" t="inlineStr">
        <is>
          <t>1 container trailer with 7 various roll-off containers according to performance specification</t>
        </is>
      </c>
      <c r="W23" s="26" t="inlineStr">
        <is>
          <t>TED</t>
        </is>
      </c>
      <c r="X23" s="26" t="inlineStr"/>
    </row>
    <row r="24" ht="45" customHeight="1">
      <c r="B24" s="26" t="inlineStr">
        <is>
          <t>13179-2023</t>
        </is>
      </c>
      <c r="C24" s="26" t="inlineStr">
        <is>
          <t>Baggage, Pallet and Air Freight Transport Trailers</t>
        </is>
      </c>
      <c r="D24" s="26" t="inlineStr">
        <is>
          <t>France</t>
        </is>
      </c>
      <c r="E24" s="26" t="inlineStr">
        <is>
          <t>minarm/Dmaé</t>
        </is>
      </c>
      <c r="F24" s="27" t="n">
        <v>44935</v>
      </c>
      <c r="G24" s="26" t="inlineStr">
        <is>
          <t>Awarded</t>
        </is>
      </c>
      <c r="H24" s="28" t="n">
        <v>5503780.4</v>
      </c>
      <c r="I24" s="26" t="inlineStr">
        <is>
          <t>EUR</t>
        </is>
      </c>
      <c r="J24" s="28" t="n">
        <v>5503780</v>
      </c>
      <c r="K24" s="26" t="inlineStr">
        <is>
          <t>Baggage transport trailer for airport operations</t>
        </is>
      </c>
      <c r="L24" s="26" t="inlineStr">
        <is>
          <t>Special Purpose</t>
        </is>
      </c>
      <c r="M24" s="26" t="n"/>
      <c r="N24" s="26" t="inlineStr">
        <is>
          <t>Coupled pallet transport trailer for air freight</t>
        </is>
      </c>
      <c r="O24" s="26" t="inlineStr">
        <is>
          <t>Special Purpose</t>
        </is>
      </c>
      <c r="P24" s="26" t="n"/>
      <c r="Q24" s="26" t="inlineStr"/>
      <c r="R24" s="26" t="n"/>
      <c r="S24" s="26" t="inlineStr"/>
      <c r="T24" s="26" t="inlineStr">
        <is>
          <t>MILOCO PRODUCTION</t>
        </is>
      </c>
      <c r="U24" s="29" t="inlineStr">
        <is>
          <t>https://ted.europa.eu/en/notice/-/detail/13179-2023</t>
        </is>
      </c>
      <c r="V24" s="26" t="inlineStr">
        <is>
          <t>Acquisition of baggage trailers, coupled pallet trailers, and air freight transport trailers with associated services for military forces. Equipment used for bulk baggage transport during air stopovers, transport of materials on coupled pallets or in 20-foot aeronautical containers, and transport of materials on pallets. Trailers operated between aircraft and unloading docks by airport tractors.</t>
        </is>
      </c>
      <c r="W24" s="26" t="inlineStr">
        <is>
          <t>TED</t>
        </is>
      </c>
      <c r="X24" s="26" t="inlineStr"/>
    </row>
    <row r="25" ht="45" customHeight="1">
      <c r="B25" s="26" t="inlineStr">
        <is>
          <t>188150-2024</t>
        </is>
      </c>
      <c r="C25" s="26" t="inlineStr">
        <is>
          <t>4-Wheel Compressor Trailers 20 bar</t>
        </is>
      </c>
      <c r="D25" s="26" t="inlineStr">
        <is>
          <t>Germany</t>
        </is>
      </c>
      <c r="E25" s="26" t="inlineStr">
        <is>
          <t>Bundesamt für Ausrüstung, Informationstechnik und Nutzung der Bundeswehr</t>
        </is>
      </c>
      <c r="F25" s="27" t="n">
        <v>45379</v>
      </c>
      <c r="G25" s="26" t="inlineStr">
        <is>
          <t>Awarded</t>
        </is>
      </c>
      <c r="H25" s="26" t="n"/>
      <c r="I25" s="26" t="inlineStr"/>
      <c r="J25" s="26" t="n"/>
      <c r="K25" s="26" t="inlineStr">
        <is>
          <t>4-wheel compressor trailer 20 bar</t>
        </is>
      </c>
      <c r="L25" s="26" t="inlineStr">
        <is>
          <t>Special Purpose</t>
        </is>
      </c>
      <c r="M25" s="28" t="n">
        <v>4</v>
      </c>
      <c r="N25" s="26" t="inlineStr"/>
      <c r="O25" s="26" t="inlineStr"/>
      <c r="P25" s="26" t="n"/>
      <c r="Q25" s="26" t="inlineStr"/>
      <c r="R25" s="26" t="n"/>
      <c r="S25" s="26" t="inlineStr">
        <is>
          <t>8 months</t>
        </is>
      </c>
      <c r="T25" s="26" t="inlineStr">
        <is>
          <t>Carl Beutlhauser Baumaschinen GmbH NL Cottbus</t>
        </is>
      </c>
      <c r="U25" s="29" t="inlineStr">
        <is>
          <t>https://ted.europa.eu/en/notice/-/detail/188150-2024</t>
        </is>
      </c>
      <c r="V25" s="26" t="inlineStr">
        <is>
          <t>Procurement of 4-wheel trailer-mounted compressors with 20 bar pressure capability for German Armed Forces</t>
        </is>
      </c>
      <c r="W25" s="26" t="inlineStr">
        <is>
          <t>TED</t>
        </is>
      </c>
      <c r="X25" s="26" t="inlineStr"/>
    </row>
    <row r="26" ht="45" customHeight="1">
      <c r="B26" s="26" t="inlineStr">
        <is>
          <t>813306-2025</t>
        </is>
      </c>
      <c r="C26" s="26" t="inlineStr">
        <is>
          <t>Hook-lift trucks with crane, trailers, flatbeds and containers</t>
        </is>
      </c>
      <c r="D26" s="26" t="inlineStr">
        <is>
          <t>Germany</t>
        </is>
      </c>
      <c r="E26" s="26" t="inlineStr">
        <is>
          <t>Bundesamt für Infrastruktur, Umweltschutz und Dienstleistungen der Bundeswehr</t>
        </is>
      </c>
      <c r="F26" s="27" t="n">
        <v>45999</v>
      </c>
      <c r="G26" s="26" t="inlineStr">
        <is>
          <t>Closed</t>
        </is>
      </c>
      <c r="H26" s="26" t="n"/>
      <c r="I26" s="26" t="inlineStr"/>
      <c r="J26" s="26" t="n"/>
      <c r="K26" s="26" t="inlineStr">
        <is>
          <t>Transport trailer for roll-off containers</t>
        </is>
      </c>
      <c r="L26" s="26" t="inlineStr">
        <is>
          <t>Loading System</t>
        </is>
      </c>
      <c r="M26" s="26" t="n"/>
      <c r="N26" s="26" t="inlineStr"/>
      <c r="O26" s="26" t="inlineStr"/>
      <c r="P26" s="26" t="n"/>
      <c r="Q26" s="26" t="inlineStr">
        <is>
          <t>Hook-lift trucks with crane attachment, roll-off bulk containers, roll-off flatbed containers</t>
        </is>
      </c>
      <c r="R26" s="26" t="n"/>
      <c r="S26" s="26" t="inlineStr">
        <is>
          <t>1 day</t>
        </is>
      </c>
      <c r="T26" s="26" t="inlineStr"/>
      <c r="U26" s="29" t="inlineStr">
        <is>
          <t>https://ted.europa.eu/en/notice/-/detail/813306-2025</t>
        </is>
      </c>
      <c r="V26" s="26" t="inlineStr">
        <is>
          <t>Procurement of hook-lift trucks with crane attachment and swap-body vehicles for roll-off containers, transport trailers for roll-off containers, roll-off bulk containers, and roll-off flatbed/bulk containers with tarpaulin and lift systems</t>
        </is>
      </c>
      <c r="W26" s="26" t="inlineStr">
        <is>
          <t>TED</t>
        </is>
      </c>
      <c r="X26" s="26" t="inlineStr"/>
    </row>
    <row r="27" ht="45" customHeight="1">
      <c r="B27" s="26" t="inlineStr">
        <is>
          <t>309470-2022</t>
        </is>
      </c>
      <c r="C27" s="26" t="inlineStr">
        <is>
          <t>Germany-Coblenz: Semi-trailers</t>
        </is>
      </c>
      <c r="D27" s="26" t="inlineStr">
        <is>
          <t>Germany</t>
        </is>
      </c>
      <c r="E27" s="26" t="inlineStr">
        <is>
          <t>Bundesamt für Ausrüstung, Informationstechnik und Nutzung der Bundeswehr</t>
        </is>
      </c>
      <c r="F27" s="27" t="n">
        <v>44720</v>
      </c>
      <c r="G27" s="26" t="inlineStr">
        <is>
          <t>Awarded</t>
        </is>
      </c>
      <c r="H27" s="26" t="n"/>
      <c r="I27" s="26" t="inlineStr"/>
      <c r="J27" s="26" t="n"/>
      <c r="K27" s="26" t="inlineStr">
        <is>
          <t>Military semi-trailer (type not specified in notice)</t>
        </is>
      </c>
      <c r="L27" s="26" t="inlineStr">
        <is>
          <t>Semitrailer</t>
        </is>
      </c>
      <c r="M27" s="28" t="n">
        <v>249</v>
      </c>
      <c r="N27" s="26" t="inlineStr"/>
      <c r="O27" s="26" t="inlineStr"/>
      <c r="P27" s="26" t="n"/>
      <c r="Q27" s="26" t="inlineStr"/>
      <c r="R27" s="26" t="n"/>
      <c r="S27" s="26" t="inlineStr"/>
      <c r="T27" s="26" t="inlineStr">
        <is>
          <t>Firma Doll Fahrzeugbau GmbH</t>
        </is>
      </c>
      <c r="U27" s="29" t="inlineStr">
        <is>
          <t>https://ted.europa.eu/en/notice/-/detail/309470-2022</t>
        </is>
      </c>
      <c r="V27" s="26" t="inlineStr">
        <is>
          <t>Procurement of semi-trailers by German Federal Office of Bundeswehr Equipment, Information Technology and In-Service Support. Contract awarded to Doll Fahrzeugbau GmbH.</t>
        </is>
      </c>
      <c r="W27" s="26" t="inlineStr">
        <is>
          <t>TED</t>
        </is>
      </c>
      <c r="X27" s="26" t="inlineStr"/>
    </row>
    <row r="28" ht="45" customHeight="1">
      <c r="B28" s="26" t="inlineStr">
        <is>
          <t>129915-2025</t>
        </is>
      </c>
      <c r="C28" s="26" t="inlineStr">
        <is>
          <t>Field Kitchen - Cooling Freezing Trailers - Purchase</t>
        </is>
      </c>
      <c r="D28" s="26" t="inlineStr">
        <is>
          <t>Czech Republic</t>
        </is>
      </c>
      <c r="E28" s="26" t="inlineStr">
        <is>
          <t>Ministerstvo obrany</t>
        </is>
      </c>
      <c r="F28" s="27" t="n">
        <v>45715</v>
      </c>
      <c r="G28" s="26" t="inlineStr">
        <is>
          <t>Awarded</t>
        </is>
      </c>
      <c r="H28" s="28" t="n">
        <v>50854650</v>
      </c>
      <c r="I28" s="26" t="inlineStr">
        <is>
          <t>CZK</t>
        </is>
      </c>
      <c r="J28" s="28" t="n">
        <v>2034186</v>
      </c>
      <c r="K28" s="26" t="inlineStr">
        <is>
          <t>Single-axle all-terrain trailer with dual-chamber cooling system</t>
        </is>
      </c>
      <c r="L28" s="26" t="inlineStr">
        <is>
          <t>Field Kitchen</t>
        </is>
      </c>
      <c r="M28" s="26" t="n"/>
      <c r="N28" s="26" t="inlineStr"/>
      <c r="O28" s="26" t="inlineStr"/>
      <c r="P28" s="26" t="n"/>
      <c r="Q28" s="26" t="inlineStr"/>
      <c r="R28" s="26" t="n"/>
      <c r="S28" s="26" t="inlineStr">
        <is>
          <t>16 months</t>
        </is>
      </c>
      <c r="T28" s="26" t="inlineStr">
        <is>
          <t>AGADOS spol. s r.o.</t>
        </is>
      </c>
      <c r="U28" s="29" t="inlineStr">
        <is>
          <t>https://ted.europa.eu/en/notice/-/detail/129915-2025</t>
        </is>
      </c>
      <c r="V28" s="26" t="inlineStr">
        <is>
          <t>Supply of dual-chamber cooling trailers mounted on single-axle all-terrain trailer chassis for military field operations</t>
        </is>
      </c>
      <c r="W28" s="26" t="inlineStr">
        <is>
          <t>TED</t>
        </is>
      </c>
      <c r="X28" s="26" t="inlineStr"/>
    </row>
    <row r="29" ht="45" customHeight="1">
      <c r="B29" s="26" t="inlineStr">
        <is>
          <t>620674-2024</t>
        </is>
      </c>
      <c r="C29" s="26" t="inlineStr">
        <is>
          <t>Spain - Trailers - Acquisition of Class I Subclass 3 Bulk Supply Transport</t>
        </is>
      </c>
      <c r="D29" s="26" t="inlineStr">
        <is>
          <t>Spain</t>
        </is>
      </c>
      <c r="E29" s="26" t="inlineStr">
        <is>
          <t>Jefatura de Asuntos Económicos del Mando de Apoyo Logístico</t>
        </is>
      </c>
      <c r="F29" s="27" t="n">
        <v>45580</v>
      </c>
      <c r="G29" s="26" t="inlineStr">
        <is>
          <t>Awarded</t>
        </is>
      </c>
      <c r="H29" s="28" t="n">
        <v>642000</v>
      </c>
      <c r="I29" s="26" t="inlineStr">
        <is>
          <t>EUR</t>
        </is>
      </c>
      <c r="J29" s="28" t="n">
        <v>642000</v>
      </c>
      <c r="K29" s="26" t="inlineStr">
        <is>
          <t>Military bulk supply trailer (type not specified in notice)</t>
        </is>
      </c>
      <c r="L29" s="26" t="inlineStr">
        <is>
          <t>Cargo Trailer</t>
        </is>
      </c>
      <c r="M29" s="26" t="n"/>
      <c r="N29" s="26" t="inlineStr"/>
      <c r="O29" s="26" t="inlineStr"/>
      <c r="P29" s="26" t="n"/>
      <c r="Q29" s="26" t="inlineStr"/>
      <c r="R29" s="26" t="n"/>
      <c r="S29" s="26" t="inlineStr"/>
      <c r="T29" s="26" t="inlineStr">
        <is>
          <t>(MARZASA) MARTIN ZABALLOS SA</t>
        </is>
      </c>
      <c r="U29" s="29" t="inlineStr">
        <is>
          <t>https://ted.europa.eu/en/notice/-/detail/620674-2024</t>
        </is>
      </c>
      <c r="V29" s="26" t="inlineStr">
        <is>
          <t>Acquisition of bulk supply transport equipment for Class I subclass 3 materials by Spanish military logistics command</t>
        </is>
      </c>
      <c r="W29" s="26" t="inlineStr">
        <is>
          <t>TED</t>
        </is>
      </c>
      <c r="X29" s="26" t="inlineStr"/>
    </row>
    <row r="30" ht="45" customHeight="1">
      <c r="B30" s="26" t="inlineStr">
        <is>
          <t>132540-2025</t>
        </is>
      </c>
      <c r="C30" s="26" t="inlineStr">
        <is>
          <t>Water Tank Trailers - Field Kitchen Water Storage</t>
        </is>
      </c>
      <c r="D30" s="26" t="inlineStr">
        <is>
          <t>Czech Republic</t>
        </is>
      </c>
      <c r="E30" s="26" t="inlineStr">
        <is>
          <t>Ministerstvo obrany</t>
        </is>
      </c>
      <c r="F30" s="27" t="n">
        <v>45715</v>
      </c>
      <c r="G30" s="26" t="inlineStr">
        <is>
          <t>Awarded</t>
        </is>
      </c>
      <c r="H30" s="28" t="n">
        <v>31154200</v>
      </c>
      <c r="I30" s="26" t="inlineStr">
        <is>
          <t>CZK</t>
        </is>
      </c>
      <c r="J30" s="28" t="n">
        <v>1246168</v>
      </c>
      <c r="K30" s="26" t="inlineStr">
        <is>
          <t>2000L water tank trailer on single-axle off-road chassis</t>
        </is>
      </c>
      <c r="L30" s="26" t="inlineStr">
        <is>
          <t>Tank Trailer</t>
        </is>
      </c>
      <c r="M30" s="26" t="n"/>
      <c r="N30" s="26" t="inlineStr"/>
      <c r="O30" s="26" t="inlineStr"/>
      <c r="P30" s="26" t="n"/>
      <c r="Q30" s="26" t="inlineStr"/>
      <c r="R30" s="26" t="n"/>
      <c r="S30" s="26" t="inlineStr">
        <is>
          <t>29 months</t>
        </is>
      </c>
      <c r="T30" s="26" t="inlineStr">
        <is>
          <t>AGADOS, spol. s r.o.</t>
        </is>
      </c>
      <c r="U30" s="29" t="inlineStr">
        <is>
          <t>https://ted.europa.eu/en/notice/-/detail/132540-2025</t>
        </is>
      </c>
      <c r="V30" s="26" t="inlineStr">
        <is>
          <t>Supply of trailers with 2000-liter water tanks on single-axle all-terrain chassis, type NAVA 2000</t>
        </is>
      </c>
      <c r="W30" s="26" t="inlineStr">
        <is>
          <t>TED</t>
        </is>
      </c>
      <c r="X30" s="26" t="inlineStr"/>
    </row>
    <row r="31" ht="45" customHeight="1">
      <c r="B31" s="26" t="inlineStr">
        <is>
          <t>590889-2025</t>
        </is>
      </c>
      <c r="C31" s="26" t="inlineStr">
        <is>
          <t>Spain - Breach Opening Transport Equipment Trailers</t>
        </is>
      </c>
      <c r="D31" s="26" t="inlineStr">
        <is>
          <t>Spain</t>
        </is>
      </c>
      <c r="E31" s="26" t="inlineStr">
        <is>
          <t>Jefatura de Asuntos Económicos del Mando de Apoyo Logístico</t>
        </is>
      </c>
      <c r="F31" s="27" t="n">
        <v>45910</v>
      </c>
      <c r="G31" s="26" t="inlineStr">
        <is>
          <t>Awarded</t>
        </is>
      </c>
      <c r="H31" s="28" t="n">
        <v>453090.56</v>
      </c>
      <c r="I31" s="26" t="inlineStr">
        <is>
          <t>EUR</t>
        </is>
      </c>
      <c r="J31" s="28" t="n">
        <v>453091</v>
      </c>
      <c r="K31" s="26" t="inlineStr">
        <is>
          <t>Military breach opening transport trailer</t>
        </is>
      </c>
      <c r="L31" s="26" t="inlineStr">
        <is>
          <t>Special Purpose</t>
        </is>
      </c>
      <c r="M31" s="26" t="n"/>
      <c r="N31" s="26" t="inlineStr"/>
      <c r="O31" s="26" t="inlineStr"/>
      <c r="P31" s="26" t="n"/>
      <c r="Q31" s="26" t="inlineStr"/>
      <c r="R31" s="26" t="n"/>
      <c r="S31" s="26" t="inlineStr"/>
      <c r="T31" s="26" t="inlineStr">
        <is>
          <t>MAZARSA MARTIN ZEBALLOS S.A.</t>
        </is>
      </c>
      <c r="U31" s="29" t="inlineStr">
        <is>
          <t>https://ted.europa.eu/en/notice/-/detail/590889-2025</t>
        </is>
      </c>
      <c r="V31" s="26" t="inlineStr">
        <is>
          <t>Acquisition of transport equipment for breach opening operations</t>
        </is>
      </c>
      <c r="W31" s="26" t="inlineStr">
        <is>
          <t>TED</t>
        </is>
      </c>
      <c r="X31" s="26" t="inlineStr"/>
    </row>
    <row r="32" ht="45" customHeight="1">
      <c r="B32" s="26" t="inlineStr">
        <is>
          <t>254420-2025</t>
        </is>
      </c>
      <c r="C32" s="26" t="inlineStr">
        <is>
          <t>Italy - Multifunctional engineering equipment and field lighting towers on trailers</t>
        </is>
      </c>
      <c r="D32" s="26" t="inlineStr">
        <is>
          <t>Italy</t>
        </is>
      </c>
      <c r="E32" s="26" t="inlineStr">
        <is>
          <t>Direzione Armamenti Terrestri</t>
        </is>
      </c>
      <c r="F32" s="27" t="n">
        <v>45764</v>
      </c>
      <c r="G32" s="26" t="inlineStr">
        <is>
          <t>Awarded</t>
        </is>
      </c>
      <c r="H32" s="28" t="n">
        <v>3897000</v>
      </c>
      <c r="I32" s="26" t="inlineStr">
        <is>
          <t>EUR</t>
        </is>
      </c>
      <c r="J32" s="28" t="n">
        <v>3897000</v>
      </c>
      <c r="K32" s="26" t="inlineStr">
        <is>
          <t>Multifunctional engineering equipment trailer</t>
        </is>
      </c>
      <c r="L32" s="26" t="inlineStr">
        <is>
          <t>Special Purpose</t>
        </is>
      </c>
      <c r="M32" s="28" t="n">
        <v>30</v>
      </c>
      <c r="N32" s="26" t="inlineStr">
        <is>
          <t>Field lighting tower trailer</t>
        </is>
      </c>
      <c r="O32" s="26" t="inlineStr">
        <is>
          <t>Special Purpose</t>
        </is>
      </c>
      <c r="P32" s="28" t="n">
        <v>62</v>
      </c>
      <c r="Q32" s="26" t="inlineStr"/>
      <c r="R32" s="26" t="n"/>
      <c r="S32" s="26" t="inlineStr">
        <is>
          <t>700 days</t>
        </is>
      </c>
      <c r="T32" s="26" t="inlineStr">
        <is>
          <t>GREEN POWER</t>
        </is>
      </c>
      <c r="U32" s="29" t="inlineStr">
        <is>
          <t>https://ted.europa.eu/en/notice/-/detail/254420-2025</t>
        </is>
      </c>
      <c r="V32" s="26" t="inlineStr">
        <is>
          <t>Supply of 30 (+15 option) multifunctional engineering equipment on 2-axle trailers at €81,486 each and 62 (+49 option) field lighting towers on 2-axle trailers at €29,400 each. Delivery in 3 installments over 700 days. Award based on lowest price criterion.</t>
        </is>
      </c>
      <c r="W32" s="26" t="inlineStr">
        <is>
          <t>TED</t>
        </is>
      </c>
      <c r="X32" s="26" t="inlineStr"/>
    </row>
    <row r="33" ht="45" customHeight="1">
      <c r="B33" s="26" t="inlineStr">
        <is>
          <t>582377-2025</t>
        </is>
      </c>
      <c r="C33" s="26" t="inlineStr">
        <is>
          <t>Sweden - Trailers for handling vehicles transport</t>
        </is>
      </c>
      <c r="D33" s="26" t="inlineStr">
        <is>
          <t>Sweden</t>
        </is>
      </c>
      <c r="E33" s="26" t="inlineStr">
        <is>
          <t>FMV</t>
        </is>
      </c>
      <c r="F33" s="27" t="n">
        <v>45908</v>
      </c>
      <c r="G33" s="26" t="inlineStr">
        <is>
          <t>Awarded</t>
        </is>
      </c>
      <c r="H33" s="28" t="n">
        <v>60000000</v>
      </c>
      <c r="I33" s="26" t="inlineStr">
        <is>
          <t>SEK</t>
        </is>
      </c>
      <c r="J33" s="28" t="n">
        <v>5220000</v>
      </c>
      <c r="K33" s="26" t="inlineStr">
        <is>
          <t>3.5t cargo trailer for handling vehicle transport</t>
        </is>
      </c>
      <c r="L33" s="26" t="inlineStr">
        <is>
          <t>Cargo Trailer</t>
        </is>
      </c>
      <c r="M33" s="26" t="n"/>
      <c r="N33" s="26" t="inlineStr"/>
      <c r="O33" s="26" t="inlineStr"/>
      <c r="P33" s="26" t="n"/>
      <c r="Q33" s="26" t="inlineStr"/>
      <c r="R33" s="26" t="n"/>
      <c r="S33" s="26" t="inlineStr">
        <is>
          <t>36 months</t>
        </is>
      </c>
      <c r="T33" s="26" t="inlineStr">
        <is>
          <t>Nordic Cartrailer AB</t>
        </is>
      </c>
      <c r="U33" s="29" t="inlineStr">
        <is>
          <t>https://ted.europa.eu/en/notice/-/detail/582377-2025</t>
        </is>
      </c>
      <c r="V33" s="26" t="inlineStr">
        <is>
          <t>FMV procurement of 3.5 ton trailers for transporting handling vehicles. Two contracts: delivery contract (FMV) and maintenance contract (Armed Forces). Delivery contract 3 years with possible 2+2 year extension. Maintenance contract 3 years with possible 2+5+5 year extension.</t>
        </is>
      </c>
      <c r="W33" s="26" t="inlineStr">
        <is>
          <t>TED</t>
        </is>
      </c>
      <c r="X33" s="26" t="inlineStr"/>
    </row>
    <row r="34" ht="45" customHeight="1">
      <c r="B34" s="26" t="inlineStr">
        <is>
          <t>30130-2025</t>
        </is>
      </c>
      <c r="C34" s="26" t="inlineStr">
        <is>
          <t>Switzerland - Helium Bottle Rack Structure for Trailer 16</t>
        </is>
      </c>
      <c r="D34" s="26" t="inlineStr">
        <is>
          <t>Switzerland</t>
        </is>
      </c>
      <c r="E34" s="26" t="inlineStr">
        <is>
          <t>Bundesamt für Rüstung armasuisse</t>
        </is>
      </c>
      <c r="F34" s="27" t="n">
        <v>45673</v>
      </c>
      <c r="G34" s="26" t="inlineStr">
        <is>
          <t>Awarded</t>
        </is>
      </c>
      <c r="H34" s="28" t="n">
        <v>1472322</v>
      </c>
      <c r="I34" s="26" t="inlineStr">
        <is>
          <t>CHF</t>
        </is>
      </c>
      <c r="J34" s="28" t="n">
        <v>1560661</v>
      </c>
      <c r="K34" s="26" t="inlineStr">
        <is>
          <t>Helium bottle rack trailer for artillery weather sounding</t>
        </is>
      </c>
      <c r="L34" s="26" t="inlineStr">
        <is>
          <t>Special Purpose</t>
        </is>
      </c>
      <c r="M34" s="28" t="n">
        <v>16</v>
      </c>
      <c r="N34" s="26" t="inlineStr"/>
      <c r="O34" s="26" t="inlineStr"/>
      <c r="P34" s="26" t="n"/>
      <c r="Q34" s="26" t="inlineStr">
        <is>
          <t>1x prototype (0-series)</t>
        </is>
      </c>
      <c r="R34" s="28" t="n">
        <v>1</v>
      </c>
      <c r="S34" s="26" t="inlineStr">
        <is>
          <t>48 months</t>
        </is>
      </c>
      <c r="T34" s="26" t="inlineStr">
        <is>
          <t>DE_Calag Carrosserie Langenthal AG</t>
        </is>
      </c>
      <c r="U34" s="29" t="inlineStr">
        <is>
          <t>https://ted.europa.eu/en/notice/-/detail/30130-2025</t>
        </is>
      </c>
      <c r="V34" s="26" t="inlineStr">
        <is>
          <t>Procurement and integration of modern artillery weather sounding system. Construction of helium bottle rack for Trailer 16. Includes manufacturing of prototype (0-series) and production series of 16 helium bottle racks.</t>
        </is>
      </c>
      <c r="W34" s="26" t="inlineStr">
        <is>
          <t>TED</t>
        </is>
      </c>
      <c r="X34" s="26" t="inlineStr"/>
    </row>
    <row r="35" ht="45" customHeight="1">
      <c r="B35" s="26" t="inlineStr">
        <is>
          <t>467088-2025</t>
        </is>
      </c>
      <c r="C35" s="26" t="inlineStr">
        <is>
          <t>Container Transport Trailers KTN ISO 1C</t>
        </is>
      </c>
      <c r="D35" s="26" t="inlineStr">
        <is>
          <t>Czech Republic</t>
        </is>
      </c>
      <c r="E35" s="26" t="inlineStr">
        <is>
          <t>Ministerstvo obrany</t>
        </is>
      </c>
      <c r="F35" s="27" t="n">
        <v>45855</v>
      </c>
      <c r="G35" s="26" t="inlineStr">
        <is>
          <t>Awarded</t>
        </is>
      </c>
      <c r="H35" s="28" t="n">
        <v>151330600</v>
      </c>
      <c r="I35" s="26" t="inlineStr">
        <is>
          <t>CZK</t>
        </is>
      </c>
      <c r="J35" s="28" t="n">
        <v>6053224</v>
      </c>
      <c r="K35" s="26" t="inlineStr">
        <is>
          <t>Dual-axle low-bed container carrier trailer for ISO 1C containers</t>
        </is>
      </c>
      <c r="L35" s="26" t="inlineStr">
        <is>
          <t>Low-Bed</t>
        </is>
      </c>
      <c r="M35" s="28" t="n">
        <v>200</v>
      </c>
      <c r="N35" s="26" t="inlineStr"/>
      <c r="O35" s="26" t="inlineStr"/>
      <c r="P35" s="26" t="n"/>
      <c r="Q35" s="26" t="inlineStr"/>
      <c r="R35" s="26" t="n"/>
      <c r="S35" s="26" t="inlineStr">
        <is>
          <t>15 months</t>
        </is>
      </c>
      <c r="T35" s="26" t="inlineStr">
        <is>
          <t>AGADOS, spol. s r.o.</t>
        </is>
      </c>
      <c r="U35" s="29" t="inlineStr">
        <is>
          <t>https://ted.europa.eu/en/notice/-/detail/467088-2025</t>
        </is>
      </c>
      <c r="V35" s="26" t="inlineStr">
        <is>
          <t>Supply of 200 container carrier trailers on dual-axle low-bed frame chassis designed for transport of ISO 1C, ISO ICC and other derived container types.</t>
        </is>
      </c>
      <c r="W35" s="26" t="inlineStr">
        <is>
          <t>TED</t>
        </is>
      </c>
      <c r="X35" s="26" t="inlineStr"/>
    </row>
    <row r="36" ht="45" customHeight="1">
      <c r="B36" s="26" t="inlineStr">
        <is>
          <t>119311-2025</t>
        </is>
      </c>
      <c r="C36" s="26" t="inlineStr">
        <is>
          <t>Heavy Cargo Trailers O4-PN-V for T-815 Trucks - Purchase</t>
        </is>
      </c>
      <c r="D36" s="26" t="inlineStr">
        <is>
          <t>Czech Republic</t>
        </is>
      </c>
      <c r="E36" s="26" t="inlineStr">
        <is>
          <t>Ministerstvo obrany</t>
        </is>
      </c>
      <c r="F36" s="27" t="n">
        <v>45709</v>
      </c>
      <c r="G36" s="26" t="inlineStr">
        <is>
          <t>Awarded</t>
        </is>
      </c>
      <c r="H36" s="28" t="n">
        <v>157120000</v>
      </c>
      <c r="I36" s="26" t="inlineStr">
        <is>
          <t>CZK</t>
        </is>
      </c>
      <c r="J36" s="28" t="n">
        <v>6284800</v>
      </c>
      <c r="K36" s="26" t="inlineStr">
        <is>
          <t>Heavy 2-axle cargo trailer O4 category with loading platform and tarpaulin</t>
        </is>
      </c>
      <c r="L36" s="26" t="inlineStr">
        <is>
          <t>Cargo Trailer</t>
        </is>
      </c>
      <c r="M36" s="28" t="n">
        <v>160</v>
      </c>
      <c r="N36" s="26" t="inlineStr"/>
      <c r="O36" s="26" t="inlineStr"/>
      <c r="P36" s="26" t="n"/>
      <c r="Q36" s="26" t="inlineStr"/>
      <c r="R36" s="26" t="n"/>
      <c r="S36" s="26" t="inlineStr">
        <is>
          <t>20 months</t>
        </is>
      </c>
      <c r="T36" s="26" t="inlineStr">
        <is>
          <t>PANAV, a.s.</t>
        </is>
      </c>
      <c r="U36" s="29" t="inlineStr">
        <is>
          <t>https://ted.europa.eu/en/notice/-/detail/119311-2025</t>
        </is>
      </c>
      <c r="V36" s="26" t="inlineStr">
        <is>
          <t>Supply of 160 heavy cargo two-axle trailers category O4 with loading platform and tarpaulin.</t>
        </is>
      </c>
      <c r="W36" s="26" t="inlineStr">
        <is>
          <t>TED</t>
        </is>
      </c>
      <c r="X36" s="26" t="inlineStr"/>
    </row>
    <row r="37" ht="45" customHeight="1">
      <c r="B37" s="26" t="inlineStr">
        <is>
          <t>18389-2020</t>
        </is>
      </c>
      <c r="C37" s="26" t="inlineStr">
        <is>
          <t>Bridge Transport Semi-trailers KB8</t>
        </is>
      </c>
      <c r="D37" s="26" t="inlineStr">
        <is>
          <t>Sweden</t>
        </is>
      </c>
      <c r="E37" s="26" t="inlineStr">
        <is>
          <t>FÖRSVARETS MATERIELVERK</t>
        </is>
      </c>
      <c r="F37" s="27" t="n">
        <v>43844</v>
      </c>
      <c r="G37" s="26" t="inlineStr">
        <is>
          <t>Awarded</t>
        </is>
      </c>
      <c r="H37" s="28" t="n">
        <v>15000000</v>
      </c>
      <c r="I37" s="26" t="inlineStr">
        <is>
          <t>SEK</t>
        </is>
      </c>
      <c r="J37" s="28" t="n">
        <v>1305000</v>
      </c>
      <c r="K37" s="26" t="inlineStr">
        <is>
          <t>Military bridge transport semi-trailer KB8</t>
        </is>
      </c>
      <c r="L37" s="26" t="inlineStr">
        <is>
          <t>Special Purpose</t>
        </is>
      </c>
      <c r="M37" s="28" t="n">
        <v>6</v>
      </c>
      <c r="N37" s="26" t="inlineStr"/>
      <c r="O37" s="26" t="inlineStr"/>
      <c r="P37" s="26" t="n"/>
      <c r="Q37" s="26" t="inlineStr">
        <is>
          <t>6x tractor units (mentioned but not part of this specific procurement)</t>
        </is>
      </c>
      <c r="R37" s="28" t="n">
        <v>6</v>
      </c>
      <c r="S37" s="26" t="inlineStr"/>
      <c r="T37" s="26" t="inlineStr">
        <is>
          <t>Timars Svets och Smide Aktiebolag</t>
        </is>
      </c>
      <c r="U37" s="29" t="inlineStr">
        <is>
          <t>https://ted.europa.eu/en/notice/-/detail/18389-2020</t>
        </is>
      </c>
      <c r="V37" s="26" t="inlineStr">
        <is>
          <t>Procurement of 6 transport and handling systems for Kriegsbro 8 (military bridge) as part of Bridge Laying Vehicle 120. Each system consists of a tractor unit and special trailer for transport and handling of two 14m KB8 bridges and one 26m KB8 bridge. This procurement covers the trailer portion only.</t>
        </is>
      </c>
      <c r="W37" s="26" t="inlineStr">
        <is>
          <t>TED</t>
        </is>
      </c>
      <c r="X37" s="26" t="inlineStr"/>
    </row>
    <row r="38" ht="45" customHeight="1">
      <c r="B38" s="26" t="inlineStr">
        <is>
          <t>152406-2025</t>
        </is>
      </c>
      <c r="C38" s="26" t="inlineStr">
        <is>
          <t>Heavy Haulage Trucks and Low-Bed Trailers for Irish Defence Forces</t>
        </is>
      </c>
      <c r="D38" s="26" t="inlineStr">
        <is>
          <t>Ireland</t>
        </is>
      </c>
      <c r="E38" s="26" t="inlineStr">
        <is>
          <t>Irish Defence Forces_1144</t>
        </is>
      </c>
      <c r="F38" s="27" t="n">
        <v>45726</v>
      </c>
      <c r="G38" s="26" t="inlineStr">
        <is>
          <t>Awarded</t>
        </is>
      </c>
      <c r="H38" s="28" t="n">
        <v>900000</v>
      </c>
      <c r="I38" s="26" t="inlineStr">
        <is>
          <t>EUR</t>
        </is>
      </c>
      <c r="J38" s="28" t="n">
        <v>900000</v>
      </c>
      <c r="K38" s="26" t="inlineStr">
        <is>
          <t>3-axle low bed trailer &gt;46t payload</t>
        </is>
      </c>
      <c r="L38" s="26" t="inlineStr">
        <is>
          <t>Low-Bed</t>
        </is>
      </c>
      <c r="M38" s="28" t="n">
        <v>1</v>
      </c>
      <c r="N38" s="26" t="inlineStr">
        <is>
          <t>4-axle semi low bed trailer &gt;46t payload</t>
        </is>
      </c>
      <c r="O38" s="26" t="inlineStr">
        <is>
          <t>Low-Bed</t>
        </is>
      </c>
      <c r="P38" s="28" t="n">
        <v>1</v>
      </c>
      <c r="Q38" s="26" t="inlineStr">
        <is>
          <t>2x heavy haulage 6x4 articulated truck units</t>
        </is>
      </c>
      <c r="R38" s="28" t="n">
        <v>2</v>
      </c>
      <c r="S38" s="26" t="inlineStr"/>
      <c r="T38" s="26" t="inlineStr">
        <is>
          <t>Metallbau Schneider</t>
        </is>
      </c>
      <c r="U38" s="29" t="inlineStr">
        <is>
          <t>https://ted.europa.eu/en/notice/-/detail/152406-2025</t>
        </is>
      </c>
      <c r="V38" s="26" t="inlineStr">
        <is>
          <t>Supply of two 6x4 articulated truck units and two heavy haulage trailers (one 3-axle low bed trailer &gt;46t payload, one 4-axle semi low bed trailer &gt;46t payload) to Irish Defence Forces with trade-in of existing Mercedes Actros trucks.</t>
        </is>
      </c>
      <c r="W38" s="26" t="inlineStr">
        <is>
          <t>TED</t>
        </is>
      </c>
      <c r="X38" s="26" t="inlineStr"/>
    </row>
    <row r="39" ht="45" customHeight="1">
      <c r="B39" s="26" t="inlineStr">
        <is>
          <t>299270-2019</t>
        </is>
      </c>
      <c r="C39" s="26" t="inlineStr">
        <is>
          <t>Bridge Transport Semi-trailers KB8</t>
        </is>
      </c>
      <c r="D39" s="26" t="inlineStr">
        <is>
          <t>Sweden</t>
        </is>
      </c>
      <c r="E39" s="26" t="inlineStr">
        <is>
          <t>Försvarets materielverk</t>
        </is>
      </c>
      <c r="F39" s="27" t="n">
        <v>43643</v>
      </c>
      <c r="G39" s="26" t="inlineStr">
        <is>
          <t>Closed</t>
        </is>
      </c>
      <c r="H39" s="26" t="n"/>
      <c r="I39" s="26" t="inlineStr"/>
      <c r="J39" s="26" t="n"/>
      <c r="K39" s="26" t="inlineStr">
        <is>
          <t>Special bridge transport semi-trailer for KB8 bridge sections</t>
        </is>
      </c>
      <c r="L39" s="26" t="inlineStr">
        <is>
          <t>Special Purpose</t>
        </is>
      </c>
      <c r="M39" s="28" t="n">
        <v>6</v>
      </c>
      <c r="N39" s="26" t="inlineStr"/>
      <c r="O39" s="26" t="inlineStr"/>
      <c r="P39" s="26" t="n"/>
      <c r="Q39" s="26" t="inlineStr">
        <is>
          <t>6x tractor units</t>
        </is>
      </c>
      <c r="R39" s="28" t="n">
        <v>6</v>
      </c>
      <c r="S39" s="26" t="inlineStr"/>
      <c r="T39" s="26" t="inlineStr"/>
      <c r="U39" s="29" t="inlineStr">
        <is>
          <t>https://ted.europa.eu/en/notice/-/detail/299270-2019</t>
        </is>
      </c>
      <c r="V39" s="26" t="inlineStr">
        <is>
          <t>FMV procures 6 transport and handling systems for War Bridge 8 (KB8) as part of Bridge Vehicle 120. Each system consists of tractor and special trailer for transport/handling of two 14m KB8 and one 26m KB8 including spare parts and documentation. This procurement covers trailer portion.</t>
        </is>
      </c>
      <c r="W39" s="26" t="inlineStr">
        <is>
          <t>TED</t>
        </is>
      </c>
      <c r="X39" s="26" t="inlineStr"/>
    </row>
    <row r="40" ht="45" customHeight="1">
      <c r="B40" s="26" t="inlineStr">
        <is>
          <t>583390-2025</t>
        </is>
      </c>
      <c r="C40" s="26" t="inlineStr">
        <is>
          <t>France - POSEIDON Shelter with associated services and technical support</t>
        </is>
      </c>
      <c r="D40" s="26" t="inlineStr">
        <is>
          <t>France</t>
        </is>
      </c>
      <c r="E40" s="26" t="inlineStr">
        <is>
          <t>Direction Générale de l'Armement / DOMN / Service des Achats d'Armement</t>
        </is>
      </c>
      <c r="F40" s="27" t="n">
        <v>45908</v>
      </c>
      <c r="G40" s="26" t="inlineStr">
        <is>
          <t>Awarded</t>
        </is>
      </c>
      <c r="H40" s="28" t="n">
        <v>544127.5</v>
      </c>
      <c r="I40" s="26" t="inlineStr">
        <is>
          <t>EUR</t>
        </is>
      </c>
      <c r="J40" s="28" t="n">
        <v>544128</v>
      </c>
      <c r="K40" s="26" t="inlineStr">
        <is>
          <t>POSEIDON shelter system</t>
        </is>
      </c>
      <c r="L40" s="26" t="inlineStr">
        <is>
          <t>Mission Module</t>
        </is>
      </c>
      <c r="M40" s="28" t="n">
        <v>1</v>
      </c>
      <c r="N40" s="26" t="inlineStr"/>
      <c r="O40" s="26" t="inlineStr"/>
      <c r="P40" s="26" t="n"/>
      <c r="Q40" s="26" t="inlineStr">
        <is>
          <t>Associated services and technical support</t>
        </is>
      </c>
      <c r="R40" s="26" t="n"/>
      <c r="S40" s="26" t="inlineStr">
        <is>
          <t>54 months</t>
        </is>
      </c>
      <c r="T40" s="26" t="inlineStr">
        <is>
          <t>ENTREPRISE BORAINE DE MECANIQUE</t>
        </is>
      </c>
      <c r="U40" s="29" t="inlineStr">
        <is>
          <t>https://ted.europa.eu/en/notice/-/detail/583390-2025</t>
        </is>
      </c>
      <c r="V40" s="26" t="inlineStr">
        <is>
          <t>Acquisition of a POSEIDON Shelter with associated services and technical support for the French Defence Procurement Agency.</t>
        </is>
      </c>
      <c r="W40" s="26" t="inlineStr">
        <is>
          <t>TED</t>
        </is>
      </c>
      <c r="X40" s="26" t="inlineStr"/>
    </row>
    <row r="41" ht="45" customHeight="1">
      <c r="B41" s="26" t="inlineStr">
        <is>
          <t>147850-2021</t>
        </is>
      </c>
      <c r="C41" s="26" t="inlineStr">
        <is>
          <t>Italy-Rome: Trailers, semi-trailers and mobile containers</t>
        </is>
      </c>
      <c r="D41" s="26" t="inlineStr">
        <is>
          <t>Italy</t>
        </is>
      </c>
      <c r="E41" s="26" t="inlineStr">
        <is>
          <t>Ministero della Difesa — SGD-DNA — Direzione degli armamenti terrestri</t>
        </is>
      </c>
      <c r="F41" s="27" t="n">
        <v>44279</v>
      </c>
      <c r="G41" s="26" t="inlineStr">
        <is>
          <t>Closed</t>
        </is>
      </c>
      <c r="H41" s="28" t="n">
        <v>5282507.65</v>
      </c>
      <c r="I41" s="26" t="inlineStr">
        <is>
          <t>EUR</t>
        </is>
      </c>
      <c r="J41" s="28" t="n">
        <v>5282508</v>
      </c>
      <c r="K41" s="26" t="inlineStr">
        <is>
          <t>Military trailer (type not specified in notice)</t>
        </is>
      </c>
      <c r="L41" s="26" t="inlineStr">
        <is>
          <t>Other</t>
        </is>
      </c>
      <c r="M41" s="28" t="n">
        <v>12</v>
      </c>
      <c r="N41" s="26" t="inlineStr"/>
      <c r="O41" s="26" t="inlineStr"/>
      <c r="P41" s="26" t="n"/>
      <c r="Q41" s="26" t="inlineStr"/>
      <c r="R41" s="26" t="n"/>
      <c r="S41" s="26" t="inlineStr"/>
      <c r="T41" s="26" t="inlineStr"/>
      <c r="U41" s="29" t="inlineStr">
        <is>
          <t>https://ted.europa.eu/en/notice/-/detail/147850-2021</t>
        </is>
      </c>
      <c r="V41" s="26" t="inlineStr">
        <is>
          <t>Military procurement of trailers, semi-trailers and mobile containers by Italian Ministry of Defence - Terrestrial Armaments Directorate</t>
        </is>
      </c>
      <c r="W41" s="26" t="inlineStr">
        <is>
          <t>TED</t>
        </is>
      </c>
      <c r="X41" s="26" t="inlineStr"/>
    </row>
    <row r="42" ht="45" customHeight="1">
      <c r="B42" s="26" t="inlineStr">
        <is>
          <t>158253-2020</t>
        </is>
      </c>
      <c r="C42" s="26" t="inlineStr">
        <is>
          <t>Dual-role trailers and containers for emergency disaster response</t>
        </is>
      </c>
      <c r="D42" s="26" t="inlineStr">
        <is>
          <t>Italy</t>
        </is>
      </c>
      <c r="E42" s="26" t="inlineStr">
        <is>
          <t>Ministero della Difesa — SGD-DNA/Direzione degli armamenti terrestri</t>
        </is>
      </c>
      <c r="F42" s="27" t="n">
        <v>43923</v>
      </c>
      <c r="G42" s="26" t="inlineStr">
        <is>
          <t>Closed</t>
        </is>
      </c>
      <c r="H42" s="26" t="n"/>
      <c r="I42" s="26" t="inlineStr"/>
      <c r="J42" s="26" t="n"/>
      <c r="K42" s="26" t="inlineStr">
        <is>
          <t>Fuel transport trailer with container tank</t>
        </is>
      </c>
      <c r="L42" s="26" t="inlineStr">
        <is>
          <t>Tank Trailer</t>
        </is>
      </c>
      <c r="M42" s="26" t="n"/>
      <c r="N42" s="26" t="inlineStr">
        <is>
          <t>Workshop shelter trailer</t>
        </is>
      </c>
      <c r="O42" s="26" t="inlineStr">
        <is>
          <t>Special Purpose</t>
        </is>
      </c>
      <c r="P42" s="26" t="n"/>
      <c r="Q42" s="26" t="inlineStr">
        <is>
          <t>Various dual-role vehicles, ISO 20' containers, open-side containers</t>
        </is>
      </c>
      <c r="R42" s="26" t="n"/>
      <c r="S42" s="26" t="inlineStr"/>
      <c r="T42" s="26" t="inlineStr"/>
      <c r="U42" s="29" t="inlineStr">
        <is>
          <t>https://ted.europa.eu/en/notice/-/detail/158253-2020</t>
        </is>
      </c>
      <c r="V42" s="26" t="inlineStr">
        <is>
          <t>Acquisition of dual-role vehicles and materials for Italian Army emergency disaster response operations, including various vehicle types, ISO 20' containers, open-side containers, workshop shelters, fuel transport/distribution shelters, and fuel transport container tanks.</t>
        </is>
      </c>
      <c r="W42" s="26" t="inlineStr">
        <is>
          <t>TED</t>
        </is>
      </c>
      <c r="X42" s="26" t="inlineStr"/>
    </row>
    <row r="43" ht="45" customHeight="1">
      <c r="B43" s="26" t="inlineStr">
        <is>
          <t>510836-2017</t>
        </is>
      </c>
      <c r="C43" s="26" t="inlineStr">
        <is>
          <t>Climate-controlled road trailers for pyrotechnic specimen temperature conditioning</t>
        </is>
      </c>
      <c r="D43" s="26" t="inlineStr">
        <is>
          <t>France</t>
        </is>
      </c>
      <c r="E43" s="26" t="inlineStr">
        <is>
          <t>Minarm/DGA/DO/S2A</t>
        </is>
      </c>
      <c r="F43" s="27" t="n">
        <v>43089</v>
      </c>
      <c r="G43" s="26" t="inlineStr">
        <is>
          <t>Awarded</t>
        </is>
      </c>
      <c r="H43" s="28" t="n">
        <v>870000</v>
      </c>
      <c r="I43" s="26" t="inlineStr">
        <is>
          <t>EUR</t>
        </is>
      </c>
      <c r="J43" s="28" t="n">
        <v>870000</v>
      </c>
      <c r="K43" s="26" t="inlineStr">
        <is>
          <t>Climate-controlled trailer for pyrotechnic transport</t>
        </is>
      </c>
      <c r="L43" s="26" t="inlineStr">
        <is>
          <t>Special Purpose</t>
        </is>
      </c>
      <c r="M43" s="28" t="n">
        <v>2</v>
      </c>
      <c r="N43" s="26" t="inlineStr"/>
      <c r="O43" s="26" t="inlineStr"/>
      <c r="P43" s="26" t="n"/>
      <c r="Q43" s="26" t="inlineStr"/>
      <c r="R43" s="26" t="n"/>
      <c r="S43" s="26" t="inlineStr"/>
      <c r="T43" s="26" t="inlineStr">
        <is>
          <t>Société Weiss Technik France</t>
        </is>
      </c>
      <c r="U43" s="29" t="inlineStr">
        <is>
          <t>https://ted.europa.eu/en/notice/-/detail/510836-2017</t>
        </is>
      </c>
      <c r="V43" s="26" t="inlineStr">
        <is>
          <t>Supply of 2 climate-controlled road trailers equipped for temperature conditioning of pyrotechnic specimens. Each trailer has 6m³ useful volume, temperature range -60°C to +100°C, 1°C/min variation rate, includes folding tail lift and generator. ADR compliant for dangerous goods transport. Contract includes delivery, training and 2-year warranty.</t>
        </is>
      </c>
      <c r="W43" s="26" t="inlineStr">
        <is>
          <t>TED</t>
        </is>
      </c>
      <c r="X43" s="26" t="inlineStr"/>
    </row>
    <row r="44" ht="45" customHeight="1">
      <c r="B44" s="26" t="inlineStr">
        <is>
          <t>161385-2021</t>
        </is>
      </c>
      <c r="C44" s="26" t="inlineStr">
        <is>
          <t>Design and manufacture of road semi-trailer fitted as laboratory</t>
        </is>
      </c>
      <c r="D44" s="26" t="inlineStr">
        <is>
          <t>France</t>
        </is>
      </c>
      <c r="E44" s="26" t="inlineStr">
        <is>
          <t>Minarm/DGA/DO/S2A</t>
        </is>
      </c>
      <c r="F44" s="27" t="n">
        <v>44286</v>
      </c>
      <c r="G44" s="26" t="inlineStr">
        <is>
          <t>Closed</t>
        </is>
      </c>
      <c r="H44" s="26" t="n"/>
      <c r="I44" s="26" t="inlineStr"/>
      <c r="J44" s="26" t="n"/>
      <c r="K44" s="26" t="inlineStr">
        <is>
          <t>Road semi-trailer fitted as mobile laboratory</t>
        </is>
      </c>
      <c r="L44" s="26" t="inlineStr">
        <is>
          <t>Special Purpose</t>
        </is>
      </c>
      <c r="M44" s="28" t="n">
        <v>1</v>
      </c>
      <c r="N44" s="26" t="inlineStr"/>
      <c r="O44" s="26" t="inlineStr"/>
      <c r="P44" s="26" t="n"/>
      <c r="Q44" s="26" t="inlineStr">
        <is>
          <t>Preventive maintenance and associated services</t>
        </is>
      </c>
      <c r="R44" s="26" t="n"/>
      <c r="S44" s="26" t="inlineStr">
        <is>
          <t>72 months</t>
        </is>
      </c>
      <c r="T44" s="26" t="inlineStr"/>
      <c r="U44" s="29" t="inlineStr">
        <is>
          <t>https://ted.europa.eu/en/notice/-/detail/161385-2021</t>
        </is>
      </c>
      <c r="V44" s="26" t="inlineStr">
        <is>
          <t>Design and manufacture of a road semi-trailer converted into a mobile laboratory, including preventive maintenance and associated services for the French Ministry of Armed Forces.</t>
        </is>
      </c>
      <c r="W44" s="26" t="inlineStr">
        <is>
          <t>TED</t>
        </is>
      </c>
      <c r="X44" s="26" t="inlineStr"/>
    </row>
    <row r="45" ht="45" customHeight="1">
      <c r="B45" s="26" t="inlineStr">
        <is>
          <t>261427-2025</t>
        </is>
      </c>
      <c r="C45" s="26" t="inlineStr">
        <is>
          <t>Poland - High-capacity transport trailers</t>
        </is>
      </c>
      <c r="D45" s="26" t="inlineStr">
        <is>
          <t>Poland</t>
        </is>
      </c>
      <c r="E45" s="26" t="inlineStr">
        <is>
          <t>12 WOJSKOWY ODDZIAŁ GOSPODARCZY</t>
        </is>
      </c>
      <c r="F45" s="27" t="n">
        <v>45770</v>
      </c>
      <c r="G45" s="26" t="inlineStr">
        <is>
          <t>Awarded</t>
        </is>
      </c>
      <c r="H45" s="28" t="n">
        <v>1530000</v>
      </c>
      <c r="I45" s="26" t="inlineStr">
        <is>
          <t>PLN</t>
        </is>
      </c>
      <c r="J45" s="28" t="n">
        <v>356490</v>
      </c>
      <c r="K45" s="26" t="inlineStr">
        <is>
          <t>High-capacity transport trailer</t>
        </is>
      </c>
      <c r="L45" s="26" t="inlineStr">
        <is>
          <t>Cargo Trailer</t>
        </is>
      </c>
      <c r="M45" s="28" t="n">
        <v>4</v>
      </c>
      <c r="N45" s="26" t="inlineStr"/>
      <c r="O45" s="26" t="inlineStr"/>
      <c r="P45" s="26" t="n"/>
      <c r="Q45" s="26" t="inlineStr"/>
      <c r="R45" s="26" t="n"/>
      <c r="S45" s="26" t="inlineStr"/>
      <c r="T45" s="26" t="inlineStr">
        <is>
          <t>Zasław Spółka z ograniczoną odpowiedzialnością</t>
        </is>
      </c>
      <c r="U45" s="29" t="inlineStr">
        <is>
          <t>https://ted.europa.eu/en/notice/-/detail/261427-2025</t>
        </is>
      </c>
      <c r="V45" s="26" t="inlineStr">
        <is>
          <t>Supply of high-capacity transport trailers, quantity 4 units in basic scope and maximum 8 units resulting from option rights</t>
        </is>
      </c>
      <c r="W45" s="26" t="inlineStr">
        <is>
          <t>TED</t>
        </is>
      </c>
      <c r="X45" s="26" t="inlineStr"/>
    </row>
    <row r="46" ht="45" customHeight="1">
      <c r="B46" s="26" t="inlineStr">
        <is>
          <t>660912-2024</t>
        </is>
      </c>
      <c r="C46" s="26" t="inlineStr">
        <is>
          <t>Container Trailers with Roll-off Containers</t>
        </is>
      </c>
      <c r="D46" s="26" t="inlineStr">
        <is>
          <t>Germany</t>
        </is>
      </c>
      <c r="E46" s="26" t="inlineStr">
        <is>
          <t>Bundesamt für Infrastruktur, Umweltschutz und Dienstleistungen der Bundeswehr</t>
        </is>
      </c>
      <c r="F46" s="27" t="n">
        <v>45595</v>
      </c>
      <c r="G46" s="26" t="inlineStr">
        <is>
          <t>Awarded</t>
        </is>
      </c>
      <c r="H46" s="26" t="n"/>
      <c r="I46" s="26" t="inlineStr"/>
      <c r="J46" s="26" t="n"/>
      <c r="K46" s="26" t="inlineStr">
        <is>
          <t>Container trailer with hook-lift system</t>
        </is>
      </c>
      <c r="L46" s="26" t="inlineStr">
        <is>
          <t>Loading System</t>
        </is>
      </c>
      <c r="M46" s="28" t="n">
        <v>2</v>
      </c>
      <c r="N46" s="26" t="inlineStr"/>
      <c r="O46" s="26" t="inlineStr"/>
      <c r="P46" s="26" t="n"/>
      <c r="Q46" s="26" t="inlineStr">
        <is>
          <t>4x roll-off containers (including 2x &gt;20 cbm)</t>
        </is>
      </c>
      <c r="R46" s="28" t="n">
        <v>4</v>
      </c>
      <c r="S46" s="26" t="inlineStr"/>
      <c r="T46" s="26" t="inlineStr">
        <is>
          <t>Karl Müller GmbH &amp; Co. KG
Decker Containerbau GmbH &amp; Co. KG</t>
        </is>
      </c>
      <c r="U46" s="29" t="inlineStr">
        <is>
          <t>https://ted.europa.eu/en/notice/-/detail/660912-2024</t>
        </is>
      </c>
      <c r="V46" s="26" t="inlineStr">
        <is>
          <t>Lot 1: 2x container trailers for BwDLZ Koblenz. Lot 2: 2x roll-off containers for BwDLZ Koblenz. Lot 3: 2x roll-off containers &gt;20 cbm for BwDLZ Koblenz.</t>
        </is>
      </c>
      <c r="W46" s="26" t="inlineStr">
        <is>
          <t>TED</t>
        </is>
      </c>
      <c r="X46" s="26" t="inlineStr"/>
    </row>
    <row r="47" ht="45" customHeight="1">
      <c r="B47" s="26" t="inlineStr">
        <is>
          <t>23089-2024</t>
        </is>
      </c>
      <c r="C47" s="26" t="inlineStr">
        <is>
          <t>Romania - Refrigerated Trailers Framework Agreement</t>
        </is>
      </c>
      <c r="D47" s="26" t="inlineStr">
        <is>
          <t>Romania</t>
        </is>
      </c>
      <c r="E47" s="26" t="inlineStr">
        <is>
          <t>Ministerul Apararii Nationale - Unitatea Militara 01836</t>
        </is>
      </c>
      <c r="F47" s="27" t="n">
        <v>45303</v>
      </c>
      <c r="G47" s="26" t="inlineStr">
        <is>
          <t>Awarded</t>
        </is>
      </c>
      <c r="H47" s="28" t="n">
        <v>6288896</v>
      </c>
      <c r="I47" s="26" t="inlineStr">
        <is>
          <t>RON</t>
        </is>
      </c>
      <c r="J47" s="28" t="n">
        <v>1264068</v>
      </c>
      <c r="K47" s="26" t="inlineStr">
        <is>
          <t>Refrigerated trailer</t>
        </is>
      </c>
      <c r="L47" s="26" t="inlineStr">
        <is>
          <t>Special Purpose</t>
        </is>
      </c>
      <c r="M47" s="28" t="n">
        <v>32</v>
      </c>
      <c r="N47" s="26" t="inlineStr"/>
      <c r="O47" s="26" t="inlineStr"/>
      <c r="P47" s="26" t="n"/>
      <c r="Q47" s="26" t="inlineStr"/>
      <c r="R47" s="26" t="n"/>
      <c r="S47" s="26" t="inlineStr">
        <is>
          <t>24 months</t>
        </is>
      </c>
      <c r="T47" s="26" t="inlineStr">
        <is>
          <t>POP INDUSTRY</t>
        </is>
      </c>
      <c r="U47" s="29" t="inlineStr">
        <is>
          <t>https://ted.europa.eu/en/notice/-/detail/23089-2024</t>
        </is>
      </c>
      <c r="V47" s="26" t="inlineStr">
        <is>
          <t>Framework agreement for supply of refrigerated trailers with 24-month duration. Minimum quantity: 8 units, maximum quantity: 32 units. Minimum quantity for largest subsequent contract: 4 units, maximum: 16 units.</t>
        </is>
      </c>
      <c r="W47" s="26" t="inlineStr">
        <is>
          <t>TED</t>
        </is>
      </c>
      <c r="X47" s="26" t="inlineStr"/>
    </row>
    <row r="48" ht="45" customHeight="1">
      <c r="B48" s="26" t="inlineStr">
        <is>
          <t>25210-2020</t>
        </is>
      </c>
      <c r="C48" s="26" t="inlineStr">
        <is>
          <t>Vehicle Bodies, Trailers and Semi-trailers for Military Use</t>
        </is>
      </c>
      <c r="D48" s="26" t="inlineStr">
        <is>
          <t>United Kingdom</t>
        </is>
      </c>
      <c r="E48" s="26" t="inlineStr">
        <is>
          <t>Ministry of Defence, Land Equipment, Other</t>
        </is>
      </c>
      <c r="F48" s="27" t="n">
        <v>43847</v>
      </c>
      <c r="G48" s="26" t="inlineStr">
        <is>
          <t>Closed</t>
        </is>
      </c>
      <c r="H48" s="26" t="n"/>
      <c r="I48" s="26" t="inlineStr"/>
      <c r="J48" s="26" t="n"/>
      <c r="K48" s="26" t="inlineStr">
        <is>
          <t>Military trailer (type not specified in notice)</t>
        </is>
      </c>
      <c r="L48" s="26" t="inlineStr">
        <is>
          <t>Other</t>
        </is>
      </c>
      <c r="M48" s="26" t="n"/>
      <c r="N48" s="26" t="inlineStr"/>
      <c r="O48" s="26" t="inlineStr"/>
      <c r="P48" s="26" t="n"/>
      <c r="Q48" s="26" t="inlineStr">
        <is>
          <t>Vehicle bodies, military vehicle parts, repair and maintenance services</t>
        </is>
      </c>
      <c r="R48" s="26" t="n"/>
      <c r="S48" s="26" t="inlineStr"/>
      <c r="T48" s="26" t="inlineStr"/>
      <c r="U48" s="29" t="inlineStr">
        <is>
          <t>https://ted.europa.eu/en/notice/-/detail/25210-2020</t>
        </is>
      </c>
      <c r="V48" s="26" t="inlineStr">
        <is>
          <t>Ministry of Defence procurement for vehicle bodies, trailers or semi-trailers including military vehicles and associated parts, repair and maintenance services, and development of military vehicles. Notice includes security classification requirements and contract amendment provisions.</t>
        </is>
      </c>
      <c r="W48" s="26" t="inlineStr">
        <is>
          <t>TED</t>
        </is>
      </c>
      <c r="X48" s="26" t="inlineStr"/>
    </row>
    <row r="49" ht="45" customHeight="1">
      <c r="B49" s="26" t="inlineStr">
        <is>
          <t>504718-2017</t>
        </is>
      </c>
      <c r="C49" s="26" t="inlineStr">
        <is>
          <t>Fuel Distribution and Storage Equipment - Tank Trailers</t>
        </is>
      </c>
      <c r="D49" s="26" t="inlineStr">
        <is>
          <t>Finland</t>
        </is>
      </c>
      <c r="E49" s="26" t="inlineStr">
        <is>
          <t>Puolustusvoimat</t>
        </is>
      </c>
      <c r="F49" s="27" t="n">
        <v>43085</v>
      </c>
      <c r="G49" s="26" t="inlineStr">
        <is>
          <t>Closed</t>
        </is>
      </c>
      <c r="H49" s="28" t="n">
        <v>4500000</v>
      </c>
      <c r="I49" s="26" t="inlineStr">
        <is>
          <t>EUR</t>
        </is>
      </c>
      <c r="J49" s="28" t="n">
        <v>4500000</v>
      </c>
      <c r="K49" s="26" t="inlineStr">
        <is>
          <t>7000L fuel transport and storage tank trailer with container handling equipment</t>
        </is>
      </c>
      <c r="L49" s="26" t="inlineStr">
        <is>
          <t>Tank Trailer</t>
        </is>
      </c>
      <c r="M49" s="28" t="n">
        <v>2</v>
      </c>
      <c r="N49" s="26" t="inlineStr">
        <is>
          <t>1000L fuel distribution trailer with adjustable drawbar</t>
        </is>
      </c>
      <c r="O49" s="26" t="inlineStr">
        <is>
          <t>Tank Trailer</t>
        </is>
      </c>
      <c r="P49" s="28" t="n">
        <v>10</v>
      </c>
      <c r="Q49" s="26" t="inlineStr"/>
      <c r="R49" s="26" t="n"/>
      <c r="S49" s="26" t="inlineStr">
        <is>
          <t>48 months</t>
        </is>
      </c>
      <c r="T49" s="26" t="inlineStr"/>
      <c r="U49" s="29" t="inlineStr">
        <is>
          <t>https://ted.europa.eu/en/notice/-/detail/504718-2017</t>
        </is>
      </c>
      <c r="V49" s="26" t="inlineStr">
        <is>
          <t>Procurement of fuel transport and storage tanks (7000L) with container handling equipment and fuel distribution trailers (1000L) with adjustable drawbar. Equipment includes IBC packaging for diesel and gasoline transport, distribution and storage. Includes training, maintenance and 3-year warranty.</t>
        </is>
      </c>
      <c r="W49" s="26" t="inlineStr">
        <is>
          <t>TED</t>
        </is>
      </c>
      <c r="X49" s="26" t="inlineStr"/>
    </row>
    <row r="50" ht="45" customHeight="1">
      <c r="B50" s="26" t="inlineStr">
        <is>
          <t>416123-2016</t>
        </is>
      </c>
      <c r="C50" s="26" t="inlineStr">
        <is>
          <t>Semi-trailers</t>
        </is>
      </c>
      <c r="D50" s="26" t="inlineStr">
        <is>
          <t>Romania</t>
        </is>
      </c>
      <c r="E50" s="26" t="inlineStr">
        <is>
          <t>Ministerul Apararii</t>
        </is>
      </c>
      <c r="F50" s="27" t="n">
        <v>42699</v>
      </c>
      <c r="G50" s="26" t="inlineStr">
        <is>
          <t>Closed</t>
        </is>
      </c>
      <c r="H50" s="28" t="n">
        <v>2283237</v>
      </c>
      <c r="I50" s="26" t="inlineStr">
        <is>
          <t>RON</t>
        </is>
      </c>
      <c r="J50" s="28" t="n">
        <v>458931</v>
      </c>
      <c r="K50" s="26" t="inlineStr">
        <is>
          <t>Military semi-trailer (type not specified in notice)</t>
        </is>
      </c>
      <c r="L50" s="26" t="inlineStr">
        <is>
          <t>Semitrailer</t>
        </is>
      </c>
      <c r="M50" s="26" t="n"/>
      <c r="N50" s="26" t="inlineStr"/>
      <c r="O50" s="26" t="inlineStr"/>
      <c r="P50" s="26" t="n"/>
      <c r="Q50" s="26" t="inlineStr"/>
      <c r="R50" s="26" t="n"/>
      <c r="S50" s="26" t="inlineStr">
        <is>
          <t>24 months</t>
        </is>
      </c>
      <c r="T50" s="26" t="inlineStr"/>
      <c r="U50" s="29" t="inlineStr">
        <is>
          <t>https://ted.europa.eu/en/notice/-/detail/416123-2016</t>
        </is>
      </c>
      <c r="V50" s="26" t="inlineStr">
        <is>
          <t>Procurement of semi-trailers by Romanian Ministry of Defence</t>
        </is>
      </c>
      <c r="W50" s="26" t="inlineStr">
        <is>
          <t>TED</t>
        </is>
      </c>
      <c r="X50" s="26" t="inlineStr"/>
    </row>
    <row r="51" ht="45" customHeight="1">
      <c r="B51" s="26" t="inlineStr">
        <is>
          <t>673480-2024</t>
        </is>
      </c>
      <c r="C51" s="26" t="inlineStr">
        <is>
          <t>Netherlands - Recovery Vehicle with Semi-trailer for Military Aircraft Transport</t>
        </is>
      </c>
      <c r="D51" s="26" t="inlineStr">
        <is>
          <t>Netherlands</t>
        </is>
      </c>
      <c r="E51" s="26" t="inlineStr">
        <is>
          <t>Ministerie van Defensie</t>
        </is>
      </c>
      <c r="F51" s="27" t="n">
        <v>45601</v>
      </c>
      <c r="G51" s="26" t="inlineStr">
        <is>
          <t>Awarded</t>
        </is>
      </c>
      <c r="H51" s="28" t="n">
        <v>2550000</v>
      </c>
      <c r="I51" s="26" t="inlineStr">
        <is>
          <t>EUR</t>
        </is>
      </c>
      <c r="J51" s="28" t="n">
        <v>2550000</v>
      </c>
      <c r="K51" s="26" t="inlineStr">
        <is>
          <t>200KN capacity deep-bed low-loader semi-trailer</t>
        </is>
      </c>
      <c r="L51" s="26" t="inlineStr">
        <is>
          <t>Low-Bed</t>
        </is>
      </c>
      <c r="M51" s="28" t="n">
        <v>1</v>
      </c>
      <c r="N51" s="26" t="inlineStr"/>
      <c r="O51" s="26" t="inlineStr"/>
      <c r="P51" s="26" t="n"/>
      <c r="Q51" s="26" t="inlineStr">
        <is>
          <t>10x4 truck with 165-ton auto-loading crane</t>
        </is>
      </c>
      <c r="R51" s="28" t="n">
        <v>1</v>
      </c>
      <c r="S51" s="26" t="inlineStr">
        <is>
          <t>10 Years</t>
        </is>
      </c>
      <c r="T51" s="26" t="inlineStr">
        <is>
          <t>HEWEA Sp. z o.o.</t>
        </is>
      </c>
      <c r="U51" s="29" t="inlineStr">
        <is>
          <t>https://ted.europa.eu/en/notice/-/detail/673480-2024</t>
        </is>
      </c>
      <c r="V51" s="26" t="inlineStr">
        <is>
          <t>Procurement of recovery vehicle combination for transporting military aircraft and helicopters. The system includes a 10x4 truck with 165-ton auto-loading crane and 200KN deep-bed semi-trailer. Required to replace 1978 equipment for Logistics Centre Woensdrecht operations including transport of flying weapon systems, aircraft to be disposed, crashed aircraft and parts.</t>
        </is>
      </c>
      <c r="W51" s="26" t="inlineStr">
        <is>
          <t>TED</t>
        </is>
      </c>
      <c r="X51" s="26" t="inlineStr"/>
    </row>
    <row r="52" ht="45" customHeight="1">
      <c r="B52" s="26" t="inlineStr">
        <is>
          <t>520851-2023</t>
        </is>
      </c>
      <c r="C52" s="26" t="inlineStr">
        <is>
          <t>20 bar Compressor Trailers - 4-wheel</t>
        </is>
      </c>
      <c r="D52" s="26" t="inlineStr">
        <is>
          <t>Germany</t>
        </is>
      </c>
      <c r="E52" s="26" t="inlineStr">
        <is>
          <t>Bundesamt für Ausrüstung, Informationstechnik und Nutzung der Bundeswehr</t>
        </is>
      </c>
      <c r="F52" s="27" t="n">
        <v>45167</v>
      </c>
      <c r="G52" s="26" t="inlineStr">
        <is>
          <t>Closed</t>
        </is>
      </c>
      <c r="H52" s="26" t="n"/>
      <c r="I52" s="26" t="inlineStr"/>
      <c r="J52" s="26" t="n"/>
      <c r="K52" s="26" t="inlineStr">
        <is>
          <t>20 bar compressor trailer 4-wheel</t>
        </is>
      </c>
      <c r="L52" s="26" t="inlineStr">
        <is>
          <t>Special Purpose</t>
        </is>
      </c>
      <c r="M52" s="28" t="n">
        <v>4</v>
      </c>
      <c r="N52" s="26" t="inlineStr"/>
      <c r="O52" s="26" t="inlineStr"/>
      <c r="P52" s="26" t="n"/>
      <c r="Q52" s="26" t="inlineStr"/>
      <c r="R52" s="26" t="n"/>
      <c r="S52" s="26" t="inlineStr">
        <is>
          <t>9 months</t>
        </is>
      </c>
      <c r="T52" s="26" t="inlineStr"/>
      <c r="U52" s="29" t="inlineStr">
        <is>
          <t>https://ted.europa.eu/en/notice/-/detail/520851-2023</t>
        </is>
      </c>
      <c r="V52" s="26" t="inlineStr">
        <is>
          <t>Manufacturing and delivery of 4 road-licensed compressor trailers including accessories. These are specialized 20 bar compressor units mounted on 4-wheel trailer chassis for military use.</t>
        </is>
      </c>
      <c r="W52" s="26" t="inlineStr">
        <is>
          <t>TED</t>
        </is>
      </c>
      <c r="X52" s="26" t="inlineStr"/>
    </row>
    <row r="53" ht="45" customHeight="1">
      <c r="B53" s="26" t="inlineStr">
        <is>
          <t>425325-2019</t>
        </is>
      </c>
      <c r="C53" s="26" t="inlineStr">
        <is>
          <t>Special Military Storage Containers with Ballistic Protection</t>
        </is>
      </c>
      <c r="D53" s="26" t="inlineStr">
        <is>
          <t>Czech Republic</t>
        </is>
      </c>
      <c r="E53" s="26" t="inlineStr">
        <is>
          <t>Česká republika - Ministerstvo obrany</t>
        </is>
      </c>
      <c r="F53" s="27" t="n">
        <v>43718</v>
      </c>
      <c r="G53" s="26" t="inlineStr">
        <is>
          <t>Closed</t>
        </is>
      </c>
      <c r="H53" s="26" t="n"/>
      <c r="I53" s="26" t="inlineStr"/>
      <c r="J53" s="26" t="n"/>
      <c r="K53" s="26" t="inlineStr">
        <is>
          <t>Special military storage container with ballistic protection</t>
        </is>
      </c>
      <c r="L53" s="26" t="inlineStr">
        <is>
          <t>Special Purpose</t>
        </is>
      </c>
      <c r="M53" s="28" t="n">
        <v>6</v>
      </c>
      <c r="N53" s="26" t="inlineStr"/>
      <c r="O53" s="26" t="inlineStr"/>
      <c r="P53" s="26" t="n"/>
      <c r="Q53" s="26" t="inlineStr"/>
      <c r="R53" s="26" t="n"/>
      <c r="S53" s="26" t="inlineStr"/>
      <c r="T53" s="26" t="inlineStr"/>
      <c r="U53" s="29" t="inlineStr">
        <is>
          <t>https://ted.europa.eu/en/notice/-/detail/425325-2019</t>
        </is>
      </c>
      <c r="V53" s="26" t="inlineStr">
        <is>
          <t>Procurement of 6 special containers with ballistic protection and electronic security systems for storage of light infantry weapons and ammunition/explosives in field conditions. Tender was cancelled due to no bidders.</t>
        </is>
      </c>
      <c r="W53" s="26" t="inlineStr">
        <is>
          <t>TED</t>
        </is>
      </c>
      <c r="X53" s="26" t="inlineStr"/>
    </row>
    <row r="54" ht="45" customHeight="1">
      <c r="B54" s="26" t="inlineStr">
        <is>
          <t>485935-2022</t>
        </is>
      </c>
      <c r="C54" s="26" t="inlineStr">
        <is>
          <t>Trailers, semi-trailers and mobile containers</t>
        </is>
      </c>
      <c r="D54" s="26" t="inlineStr">
        <is>
          <t>Belgium</t>
        </is>
      </c>
      <c r="E54" s="26" t="inlineStr">
        <is>
          <t>MRMP-I/A - Direction Générale Material Resources - Division Marchés Publics -</t>
        </is>
      </c>
      <c r="F54" s="27" t="n">
        <v>44810</v>
      </c>
      <c r="G54" s="26" t="inlineStr">
        <is>
          <t>Awarded</t>
        </is>
      </c>
      <c r="H54" s="28" t="n">
        <v>418000</v>
      </c>
      <c r="I54" s="26" t="inlineStr">
        <is>
          <t>EUR</t>
        </is>
      </c>
      <c r="J54" s="28" t="n">
        <v>418000</v>
      </c>
      <c r="K54" s="26" t="inlineStr">
        <is>
          <t>Military trailer (type not specified in notice)</t>
        </is>
      </c>
      <c r="L54" s="26" t="inlineStr">
        <is>
          <t>Other</t>
        </is>
      </c>
      <c r="M54" s="26" t="n"/>
      <c r="N54" s="26" t="inlineStr"/>
      <c r="O54" s="26" t="inlineStr"/>
      <c r="P54" s="26" t="n"/>
      <c r="Q54" s="26" t="inlineStr"/>
      <c r="R54" s="26" t="n"/>
      <c r="S54" s="26" t="inlineStr"/>
      <c r="T54" s="26" t="inlineStr">
        <is>
          <t>Dantherm A/S</t>
        </is>
      </c>
      <c r="U54" s="29" t="inlineStr">
        <is>
          <t>https://ted.europa.eu/en/notice/-/detail/485935-2022</t>
        </is>
      </c>
      <c r="V54" s="26" t="inlineStr">
        <is>
          <t>Procurement of trailers, semi-trailers and mobile containers for Belgian defence forces</t>
        </is>
      </c>
      <c r="W54" s="26" t="inlineStr">
        <is>
          <t>TED</t>
        </is>
      </c>
      <c r="X54" s="26" t="inlineStr"/>
    </row>
    <row r="55" ht="45" customHeight="1">
      <c r="B55" s="26" t="inlineStr">
        <is>
          <t>467733-2020</t>
        </is>
      </c>
      <c r="C55" s="26" t="inlineStr">
        <is>
          <t>ISO 1C Containers</t>
        </is>
      </c>
      <c r="D55" s="26" t="inlineStr">
        <is>
          <t>Czech Republic</t>
        </is>
      </c>
      <c r="E55" s="26" t="inlineStr">
        <is>
          <t>Vojenský technický ústav, s.p</t>
        </is>
      </c>
      <c r="F55" s="27" t="n">
        <v>44109</v>
      </c>
      <c r="G55" s="26" t="inlineStr">
        <is>
          <t>Awarded</t>
        </is>
      </c>
      <c r="H55" s="28" t="n">
        <v>4166445</v>
      </c>
      <c r="I55" s="26" t="inlineStr">
        <is>
          <t>CZK</t>
        </is>
      </c>
      <c r="J55" s="28" t="n">
        <v>166658</v>
      </c>
      <c r="K55" s="26" t="inlineStr">
        <is>
          <t>ISO 1C container</t>
        </is>
      </c>
      <c r="L55" s="26" t="inlineStr">
        <is>
          <t>Mission Module</t>
        </is>
      </c>
      <c r="M55" s="28" t="n">
        <v>2</v>
      </c>
      <c r="N55" s="26" t="inlineStr"/>
      <c r="O55" s="26" t="inlineStr"/>
      <c r="P55" s="26" t="n"/>
      <c r="Q55" s="26" t="inlineStr"/>
      <c r="R55" s="26" t="n"/>
      <c r="S55" s="26" t="inlineStr"/>
      <c r="T55" s="26" t="inlineStr">
        <is>
          <t>Karbox, s.r.o.</t>
        </is>
      </c>
      <c r="U55" s="29" t="inlineStr">
        <is>
          <t>https://ted.europa.eu/en/notice/-/detail/467733-2020</t>
        </is>
      </c>
      <c r="V55" s="26" t="inlineStr">
        <is>
          <t>Procurement of 2 units of ISO 1C containers by Czech Military Technical Institute for defense and security purposes</t>
        </is>
      </c>
      <c r="W55" s="26" t="inlineStr">
        <is>
          <t>TED</t>
        </is>
      </c>
      <c r="X55" s="26" t="inlineStr"/>
    </row>
    <row r="56" ht="45" customHeight="1">
      <c r="B56" s="26" t="inlineStr">
        <is>
          <t>208162-2019</t>
        </is>
      </c>
      <c r="C56" s="26" t="inlineStr">
        <is>
          <t>Purchase of ISO 1C Container</t>
        </is>
      </c>
      <c r="D56" s="26" t="inlineStr">
        <is>
          <t>Czech Republic</t>
        </is>
      </c>
      <c r="E56" s="26" t="inlineStr">
        <is>
          <t>Vojenský technický ústav, s.p</t>
        </is>
      </c>
      <c r="F56" s="27" t="n">
        <v>43588</v>
      </c>
      <c r="G56" s="26" t="inlineStr">
        <is>
          <t>Awarded</t>
        </is>
      </c>
      <c r="H56" s="28" t="n">
        <v>2105000</v>
      </c>
      <c r="I56" s="26" t="inlineStr">
        <is>
          <t>CZK</t>
        </is>
      </c>
      <c r="J56" s="28" t="n">
        <v>84200</v>
      </c>
      <c r="K56" s="26" t="inlineStr">
        <is>
          <t>ISO 1C mobile container</t>
        </is>
      </c>
      <c r="L56" s="26" t="inlineStr">
        <is>
          <t>Mission Module</t>
        </is>
      </c>
      <c r="M56" s="28" t="n">
        <v>1</v>
      </c>
      <c r="N56" s="26" t="inlineStr"/>
      <c r="O56" s="26" t="inlineStr"/>
      <c r="P56" s="26" t="n"/>
      <c r="Q56" s="26" t="inlineStr">
        <is>
          <t>Container accessories</t>
        </is>
      </c>
      <c r="R56" s="26" t="n"/>
      <c r="S56" s="26" t="inlineStr"/>
      <c r="T56" s="26" t="inlineStr">
        <is>
          <t>Pavelka - kontejnery, s.r.o.</t>
        </is>
      </c>
      <c r="U56" s="29" t="inlineStr">
        <is>
          <t>https://ted.europa.eu/en/notice/-/detail/208162-2019</t>
        </is>
      </c>
      <c r="V56" s="26" t="inlineStr">
        <is>
          <t>Procurement of 1 unit ISO 1C container with accessories by Czech Military Technical Institute. Negotiated procedure without publication due to technical reasons requiring specific supplier.</t>
        </is>
      </c>
      <c r="W56" s="26" t="inlineStr">
        <is>
          <t>TED</t>
        </is>
      </c>
      <c r="X56" s="26" t="inlineStr"/>
    </row>
    <row r="57" ht="45" customHeight="1">
      <c r="B57" s="26" t="inlineStr">
        <is>
          <t>172885-2022</t>
        </is>
      </c>
      <c r="C57" s="26" t="inlineStr">
        <is>
          <t>Market Consultation: PATRIOT Weapon System Logistics Trailers</t>
        </is>
      </c>
      <c r="D57" s="26" t="inlineStr">
        <is>
          <t>Netherlands</t>
        </is>
      </c>
      <c r="E57" s="26" t="inlineStr">
        <is>
          <t>Ministerie van Defensie</t>
        </is>
      </c>
      <c r="F57" s="27" t="n">
        <v>44652</v>
      </c>
      <c r="G57" s="26" t="inlineStr">
        <is>
          <t>Closed</t>
        </is>
      </c>
      <c r="H57" s="26" t="n"/>
      <c r="I57" s="26" t="inlineStr"/>
      <c r="J57" s="26" t="n"/>
      <c r="K57" s="26" t="inlineStr">
        <is>
          <t>PATRIOT logistics semi-trailer/container combination (type 1)</t>
        </is>
      </c>
      <c r="L57" s="26" t="inlineStr">
        <is>
          <t>Mission Module</t>
        </is>
      </c>
      <c r="M57" s="28" t="n">
        <v>2</v>
      </c>
      <c r="N57" s="26" t="inlineStr">
        <is>
          <t>PATRIOT logistics semi-trailer/container combination (type 2)</t>
        </is>
      </c>
      <c r="O57" s="26" t="inlineStr">
        <is>
          <t>Mission Module</t>
        </is>
      </c>
      <c r="P57" s="26" t="n"/>
      <c r="Q57" s="26" t="inlineStr"/>
      <c r="R57" s="26" t="n"/>
      <c r="S57" s="26" t="inlineStr"/>
      <c r="T57" s="26" t="inlineStr"/>
      <c r="U57" s="29" t="inlineStr">
        <is>
          <t>https://ted.europa.eu/en/notice/-/detail/172885-2022</t>
        </is>
      </c>
      <c r="V57" s="26" t="inlineStr">
        <is>
          <t>Market consultation for replacing two different types of trailers belonging to the logistics unit of the PATRIOT weapon system. The trailers consist of semi-trailer/container combinations from which technical specialists of the PATRIOT weapon system perform their functions.</t>
        </is>
      </c>
      <c r="W57" s="26" t="inlineStr">
        <is>
          <t>TED</t>
        </is>
      </c>
      <c r="X57" s="26" t="inlineStr"/>
    </row>
    <row r="58" ht="45" customHeight="1">
      <c r="B58" s="26" t="inlineStr">
        <is>
          <t>309374-2017</t>
        </is>
      </c>
      <c r="C58" s="26" t="inlineStr">
        <is>
          <t>France-Saint-Médard-en-Jalles: Mobile units on trailers</t>
        </is>
      </c>
      <c r="D58" s="26" t="inlineStr">
        <is>
          <t>France</t>
        </is>
      </c>
      <c r="E58" s="26" t="inlineStr">
        <is>
          <t>Mindef/DGA/DO/S2A</t>
        </is>
      </c>
      <c r="F58" s="27" t="n">
        <v>42952</v>
      </c>
      <c r="G58" s="26" t="inlineStr">
        <is>
          <t>Closed</t>
        </is>
      </c>
      <c r="H58" s="26" t="n"/>
      <c r="I58" s="26" t="inlineStr"/>
      <c r="J58" s="26" t="n"/>
      <c r="K58" s="26" t="inlineStr">
        <is>
          <t>Mobile unit trailer (type not specified in notice)</t>
        </is>
      </c>
      <c r="L58" s="26" t="inlineStr">
        <is>
          <t>Special Purpose</t>
        </is>
      </c>
      <c r="M58" s="26" t="n"/>
      <c r="N58" s="26" t="inlineStr"/>
      <c r="O58" s="26" t="inlineStr"/>
      <c r="P58" s="26" t="n"/>
      <c r="Q58" s="26" t="inlineStr"/>
      <c r="R58" s="26" t="n"/>
      <c r="S58" s="26" t="inlineStr"/>
      <c r="T58" s="26" t="inlineStr"/>
      <c r="U58" s="29" t="inlineStr">
        <is>
          <t>https://ted.europa.eu/en/notice/-/detail/309374-2017</t>
        </is>
      </c>
      <c r="V58" s="26" t="inlineStr">
        <is>
          <t>Procurement of mobile units mounted on trailer platforms for French Ministry of Defence</t>
        </is>
      </c>
      <c r="W58" s="26" t="inlineStr">
        <is>
          <t>TED</t>
        </is>
      </c>
      <c r="X58" s="26" t="inlineStr"/>
    </row>
    <row r="59" ht="45" customHeight="1">
      <c r="B59" s="26" t="inlineStr">
        <is>
          <t>567897-2019</t>
        </is>
      </c>
      <c r="C59" s="26" t="inlineStr">
        <is>
          <t>Mobile units on trailers</t>
        </is>
      </c>
      <c r="D59" s="26" t="inlineStr">
        <is>
          <t>Italy</t>
        </is>
      </c>
      <c r="E59" s="26" t="inlineStr">
        <is>
          <t>Ministero della Difesa/SGD-DNA/Direzione degli armamenti terrestri</t>
        </is>
      </c>
      <c r="F59" s="27" t="n">
        <v>43798</v>
      </c>
      <c r="G59" s="26" t="inlineStr">
        <is>
          <t>Awarded</t>
        </is>
      </c>
      <c r="H59" s="28" t="n">
        <v>863811.9</v>
      </c>
      <c r="I59" s="26" t="inlineStr">
        <is>
          <t>EUR</t>
        </is>
      </c>
      <c r="J59" s="28" t="n">
        <v>863812</v>
      </c>
      <c r="K59" s="26" t="inlineStr">
        <is>
          <t>Military trailer with mobile unit (type not specified in notice)</t>
        </is>
      </c>
      <c r="L59" s="26" t="inlineStr">
        <is>
          <t>Special Purpose</t>
        </is>
      </c>
      <c r="M59" s="26" t="n"/>
      <c r="N59" s="26" t="inlineStr"/>
      <c r="O59" s="26" t="inlineStr"/>
      <c r="P59" s="26" t="n"/>
      <c r="Q59" s="26" t="inlineStr"/>
      <c r="R59" s="26" t="n"/>
      <c r="S59" s="26" t="inlineStr"/>
      <c r="T59" s="26" t="inlineStr">
        <is>
          <t>O.A.G. Industries S.r.l.</t>
        </is>
      </c>
      <c r="U59" s="29" t="inlineStr">
        <is>
          <t>https://ted.europa.eu/en/notice/-/detail/567897-2019</t>
        </is>
      </c>
      <c r="V59" s="26" t="inlineStr">
        <is>
          <t>Procurement of mobile units mounted on trailer platforms for Italian Ministry of Defence</t>
        </is>
      </c>
      <c r="W59" s="26" t="inlineStr">
        <is>
          <t>TED</t>
        </is>
      </c>
      <c r="X59" s="26" t="inlineStr"/>
    </row>
    <row r="60" ht="45" customHeight="1">
      <c r="B60" s="26" t="inlineStr">
        <is>
          <t>449529-2018</t>
        </is>
      </c>
      <c r="C60" s="26" t="inlineStr">
        <is>
          <t>Mobile units on trailers</t>
        </is>
      </c>
      <c r="D60" s="26" t="inlineStr">
        <is>
          <t>Italy</t>
        </is>
      </c>
      <c r="E60" s="26" t="inlineStr">
        <is>
          <t>Ministero della Difesa / SGD-DNA/Direzione degli Armamenti Terrestri</t>
        </is>
      </c>
      <c r="F60" s="27" t="n">
        <v>43386</v>
      </c>
      <c r="G60" s="26" t="inlineStr">
        <is>
          <t>Closed</t>
        </is>
      </c>
      <c r="H60" s="28" t="n">
        <v>900000</v>
      </c>
      <c r="I60" s="26" t="inlineStr">
        <is>
          <t>EUR</t>
        </is>
      </c>
      <c r="J60" s="28" t="n">
        <v>900000</v>
      </c>
      <c r="K60" s="26" t="inlineStr">
        <is>
          <t>Mobile unit trailer (type not specified in notice)</t>
        </is>
      </c>
      <c r="L60" s="26" t="inlineStr">
        <is>
          <t>Special Purpose</t>
        </is>
      </c>
      <c r="M60" s="28" t="n">
        <v>13</v>
      </c>
      <c r="N60" s="26" t="inlineStr"/>
      <c r="O60" s="26" t="inlineStr"/>
      <c r="P60" s="26" t="n"/>
      <c r="Q60" s="26" t="inlineStr"/>
      <c r="R60" s="26" t="n"/>
      <c r="S60" s="26" t="inlineStr"/>
      <c r="T60" s="26" t="inlineStr"/>
      <c r="U60" s="29" t="inlineStr">
        <is>
          <t>https://ted.europa.eu/en/notice/-/detail/449529-2018</t>
        </is>
      </c>
      <c r="V60" s="26" t="inlineStr">
        <is>
          <t>Procurement of mobile units mounted on trailer platforms for military use</t>
        </is>
      </c>
      <c r="W60" s="26" t="inlineStr">
        <is>
          <t>TED</t>
        </is>
      </c>
      <c r="X60" s="26" t="inlineStr"/>
    </row>
    <row r="61" ht="45" customHeight="1">
      <c r="B61" s="26" t="inlineStr">
        <is>
          <t>343264-2018</t>
        </is>
      </c>
      <c r="C61" s="26" t="inlineStr">
        <is>
          <t>Mobile Communication Station Shelters CL-660 VIAS A</t>
        </is>
      </c>
      <c r="D61" s="26" t="inlineStr">
        <is>
          <t>Finland</t>
        </is>
      </c>
      <c r="E61" s="26" t="inlineStr">
        <is>
          <t>Puolustusvoimat</t>
        </is>
      </c>
      <c r="F61" s="27" t="n">
        <v>43316</v>
      </c>
      <c r="G61" s="26" t="inlineStr">
        <is>
          <t>Awarded</t>
        </is>
      </c>
      <c r="H61" s="28" t="n">
        <v>1020075</v>
      </c>
      <c r="I61" s="26" t="inlineStr">
        <is>
          <t>EUR</t>
        </is>
      </c>
      <c r="J61" s="28" t="n">
        <v>1020075</v>
      </c>
      <c r="K61" s="26" t="inlineStr">
        <is>
          <t>CL-660 VIAS A mobile communication station shelter</t>
        </is>
      </c>
      <c r="L61" s="26" t="inlineStr">
        <is>
          <t>Mission Module</t>
        </is>
      </c>
      <c r="M61" s="28" t="n">
        <v>5</v>
      </c>
      <c r="N61" s="26" t="inlineStr"/>
      <c r="O61" s="26" t="inlineStr"/>
      <c r="P61" s="26" t="n"/>
      <c r="Q61" s="26" t="inlineStr"/>
      <c r="R61" s="26" t="n"/>
      <c r="S61" s="26" t="inlineStr"/>
      <c r="T61" s="26" t="inlineStr">
        <is>
          <t>Conlog Oy</t>
        </is>
      </c>
      <c r="U61" s="29" t="inlineStr">
        <is>
          <t>https://ted.europa.eu/en/notice/-/detail/343264-2018</t>
        </is>
      </c>
      <c r="V61" s="26" t="inlineStr">
        <is>
          <t>Procurement of 5 units of CL-660 VIAS A communication station equipment shelters. These are EMP and NBC protected shelters with integrated power generator, air conditioning system, telescopic mast handling equipment and camouflage system for use by army and navy combat units and brigades in normal and emergency conditions.</t>
        </is>
      </c>
      <c r="W61" s="26" t="inlineStr">
        <is>
          <t>TED</t>
        </is>
      </c>
      <c r="X61" s="26" t="inlineStr"/>
    </row>
    <row r="62" ht="45" customHeight="1">
      <c r="B62" s="26" t="inlineStr">
        <is>
          <t>280104-2023</t>
        </is>
      </c>
      <c r="C62" s="26" t="inlineStr">
        <is>
          <t>POSEIDON Mobile Shelter with Associated Services and Technical Support</t>
        </is>
      </c>
      <c r="D62" s="26" t="inlineStr">
        <is>
          <t>France</t>
        </is>
      </c>
      <c r="E62" s="26" t="inlineStr">
        <is>
          <t>Ministère des Armées/Direction Générale de l’Armement/Direction des</t>
        </is>
      </c>
      <c r="F62" s="27" t="n">
        <v>45058</v>
      </c>
      <c r="G62" s="26" t="inlineStr">
        <is>
          <t>Closed</t>
        </is>
      </c>
      <c r="H62" s="26" t="n"/>
      <c r="I62" s="26" t="inlineStr"/>
      <c r="J62" s="26" t="n"/>
      <c r="K62" s="26" t="inlineStr">
        <is>
          <t>Mobile expandable shelter on trailer chassis</t>
        </is>
      </c>
      <c r="L62" s="26" t="inlineStr">
        <is>
          <t>Mission Module</t>
        </is>
      </c>
      <c r="M62" s="28" t="n">
        <v>1</v>
      </c>
      <c r="N62" s="26" t="inlineStr"/>
      <c r="O62" s="26" t="inlineStr"/>
      <c r="P62" s="26" t="n"/>
      <c r="Q62" s="26" t="inlineStr">
        <is>
          <t>Furniture, connectivity systems, sanitary elements, 3-year maintenance contract</t>
        </is>
      </c>
      <c r="R62" s="26" t="n"/>
      <c r="S62" s="26" t="inlineStr">
        <is>
          <t>36 months</t>
        </is>
      </c>
      <c r="T62" s="26" t="inlineStr"/>
      <c r="U62" s="29" t="inlineStr">
        <is>
          <t>https://ted.europa.eu/en/notice/-/detail/280104-2023</t>
        </is>
      </c>
      <c r="V62" s="26" t="inlineStr">
        <is>
          <t>Acquisition of a mobile, expandable and furnished shelter for test direction activities on any terrain. Includes 3-year operational maintenance. Shelter must be transportable on 20-foot carrier without exceptional convoy requirements. Includes furniture, tables, chairs, tents, cable access, connectivity, storage systems and sanitary elements compatible with test direction activities for up to 10 people.</t>
        </is>
      </c>
      <c r="W62" s="26" t="inlineStr">
        <is>
          <t>TED</t>
        </is>
      </c>
      <c r="X62" s="26" t="inlineStr"/>
    </row>
    <row r="63" ht="45" customHeight="1">
      <c r="B63" s="26" t="inlineStr">
        <is>
          <t>98678-2017</t>
        </is>
      </c>
      <c r="C63" s="26" t="inlineStr">
        <is>
          <t>Semi-trailers</t>
        </is>
      </c>
      <c r="D63" s="26" t="inlineStr">
        <is>
          <t>Romania</t>
        </is>
      </c>
      <c r="E63" s="26" t="inlineStr">
        <is>
          <t>Ministerul Apararii</t>
        </is>
      </c>
      <c r="F63" s="27" t="n">
        <v>42810</v>
      </c>
      <c r="G63" s="26" t="inlineStr">
        <is>
          <t>Awarded</t>
        </is>
      </c>
      <c r="H63" s="28" t="n">
        <v>617990</v>
      </c>
      <c r="I63" s="26" t="inlineStr">
        <is>
          <t>RON</t>
        </is>
      </c>
      <c r="J63" s="28" t="n">
        <v>124216</v>
      </c>
      <c r="K63" s="26" t="inlineStr">
        <is>
          <t>Military semi-trailer (type not specified in notice)</t>
        </is>
      </c>
      <c r="L63" s="26" t="inlineStr">
        <is>
          <t>Semitrailer</t>
        </is>
      </c>
      <c r="M63" s="26" t="n"/>
      <c r="N63" s="26" t="inlineStr"/>
      <c r="O63" s="26" t="inlineStr"/>
      <c r="P63" s="26" t="n"/>
      <c r="Q63" s="26" t="inlineStr"/>
      <c r="R63" s="26" t="n"/>
      <c r="S63" s="26" t="inlineStr">
        <is>
          <t>24 months</t>
        </is>
      </c>
      <c r="T63" s="26" t="inlineStr">
        <is>
          <t>SC Automecanica Medias SRL</t>
        </is>
      </c>
      <c r="U63" s="29" t="inlineStr">
        <is>
          <t>https://ted.europa.eu/en/notice/-/detail/98678-2017</t>
        </is>
      </c>
      <c r="V63" s="26" t="inlineStr">
        <is>
          <t>Procurement of semi-trailers by Romanian Ministry of Defence</t>
        </is>
      </c>
      <c r="W63" s="26" t="inlineStr">
        <is>
          <t>TED</t>
        </is>
      </c>
      <c r="X63" s="26" t="inlineStr"/>
    </row>
    <row r="64" ht="45" customHeight="1">
      <c r="B64" s="26" t="inlineStr">
        <is>
          <t>168172-2018</t>
        </is>
      </c>
      <c r="C64" s="26" t="inlineStr">
        <is>
          <t>France - Acquisition of 2 ADR Trailers ≥3 tonnes GVWR</t>
        </is>
      </c>
      <c r="D64" s="26" t="inlineStr">
        <is>
          <t>France</t>
        </is>
      </c>
      <c r="E64" s="26" t="inlineStr">
        <is>
          <t>Minarm/DGA/DO/S2A</t>
        </is>
      </c>
      <c r="F64" s="27" t="n">
        <v>43208</v>
      </c>
      <c r="G64" s="26" t="inlineStr">
        <is>
          <t>Closed</t>
        </is>
      </c>
      <c r="H64" s="26" t="n"/>
      <c r="I64" s="26" t="inlineStr"/>
      <c r="J64" s="26" t="n"/>
      <c r="K64" s="26" t="inlineStr">
        <is>
          <t>3+ tonne ADR hazardous materials trailer</t>
        </is>
      </c>
      <c r="L64" s="26" t="inlineStr">
        <is>
          <t>Special Purpose</t>
        </is>
      </c>
      <c r="M64" s="28" t="n">
        <v>2</v>
      </c>
      <c r="N64" s="26" t="inlineStr"/>
      <c r="O64" s="26" t="inlineStr"/>
      <c r="P64" s="26" t="n"/>
      <c r="Q64" s="26" t="inlineStr"/>
      <c r="R64" s="26" t="n"/>
      <c r="S64" s="26" t="inlineStr"/>
      <c r="T64" s="26" t="inlineStr"/>
      <c r="U64" s="29" t="inlineStr">
        <is>
          <t>https://ted.europa.eu/en/notice/-/detail/168172-2018</t>
        </is>
      </c>
      <c r="V64" s="26" t="inlineStr">
        <is>
          <t>Procurement of 2 ADR (hazardous materials transport) trailers with gross vehicle weight rating of at least 3 tonnes and minimum payload capacity of 3 tonnes for the French Defence Procurement Agency (DGA).</t>
        </is>
      </c>
      <c r="W64" s="26" t="inlineStr">
        <is>
          <t>TED</t>
        </is>
      </c>
      <c r="X64" s="26" t="inlineStr"/>
    </row>
    <row r="65" ht="45" customHeight="1">
      <c r="B65" s="26" t="inlineStr">
        <is>
          <t>114692-2020</t>
        </is>
      </c>
      <c r="C65" s="26" t="inlineStr">
        <is>
          <t>Maintenance of Airfield Fuel Tankers, Road Fuel Tankers and 2t Fuel Filter Trailer</t>
        </is>
      </c>
      <c r="D65" s="26" t="inlineStr">
        <is>
          <t>Germany</t>
        </is>
      </c>
      <c r="E65" s="26" t="inlineStr">
        <is>
          <t>Bundesamt f. Ausrüstung, Informationstechnik und Nutzung der Bundeswehr</t>
        </is>
      </c>
      <c r="F65" s="27" t="n">
        <v>43899</v>
      </c>
      <c r="G65" s="26" t="inlineStr">
        <is>
          <t>Awarded</t>
        </is>
      </c>
      <c r="H65" s="26" t="n"/>
      <c r="I65" s="26" t="inlineStr">
        <is>
          <t>EUR</t>
        </is>
      </c>
      <c r="J65" s="26" t="n"/>
      <c r="K65" s="26" t="inlineStr">
        <is>
          <t>2t fuel filter trailer</t>
        </is>
      </c>
      <c r="L65" s="26" t="inlineStr">
        <is>
          <t>Tank Trailer</t>
        </is>
      </c>
      <c r="M65" s="26" t="n"/>
      <c r="N65" s="26" t="inlineStr"/>
      <c r="O65" s="26" t="inlineStr"/>
      <c r="P65" s="26" t="n"/>
      <c r="Q65" s="26" t="inlineStr">
        <is>
          <t>Airfield fuel tankers and road fuel tankers (maintenance only)</t>
        </is>
      </c>
      <c r="R65" s="26" t="n"/>
      <c r="S65" s="26" t="inlineStr"/>
      <c r="T65" s="26" t="inlineStr">
        <is>
          <t>Rohr Spezialfahrzeuge GmbH</t>
        </is>
      </c>
      <c r="U65" s="29" t="inlineStr">
        <is>
          <t>https://ted.europa.eu/en/notice/-/detail/114692-2020</t>
        </is>
      </c>
      <c r="V65" s="26" t="inlineStr">
        <is>
          <t>Maintenance and repair services for airfield fuel tankers, road fuel tankers and fuel filter trailer 2t at contractor's facility under framework agreement</t>
        </is>
      </c>
      <c r="W65" s="26" t="inlineStr">
        <is>
          <t>TED</t>
        </is>
      </c>
      <c r="X65" s="26" t="inlineStr"/>
    </row>
    <row r="66" ht="45" customHeight="1">
      <c r="B66" s="26" t="inlineStr">
        <is>
          <t>174181-2019</t>
        </is>
      </c>
      <c r="C66" s="26" t="inlineStr">
        <is>
          <t>ISO Container Transport Trailers</t>
        </is>
      </c>
      <c r="D66" s="26" t="inlineStr">
        <is>
          <t>Czech Republic</t>
        </is>
      </c>
      <c r="E66" s="26" t="inlineStr">
        <is>
          <t>Česká republika - Ministerstvo obrany</t>
        </is>
      </c>
      <c r="F66" s="27" t="n">
        <v>43567</v>
      </c>
      <c r="G66" s="26" t="inlineStr">
        <is>
          <t>Closed</t>
        </is>
      </c>
      <c r="H66" s="26" t="n"/>
      <c r="I66" s="26" t="inlineStr"/>
      <c r="J66" s="26" t="n"/>
      <c r="K66" s="26" t="inlineStr">
        <is>
          <t>ISO container transport trailer</t>
        </is>
      </c>
      <c r="L66" s="26" t="inlineStr">
        <is>
          <t>Cargo Trailer</t>
        </is>
      </c>
      <c r="M66" s="28" t="n">
        <v>52</v>
      </c>
      <c r="N66" s="26" t="inlineStr"/>
      <c r="O66" s="26" t="inlineStr"/>
      <c r="P66" s="26" t="n"/>
      <c r="Q66" s="26" t="inlineStr"/>
      <c r="R66" s="26" t="n"/>
      <c r="S66" s="26" t="inlineStr"/>
      <c r="T66" s="26" t="inlineStr"/>
      <c r="U66" s="29" t="inlineStr">
        <is>
          <t>https://ted.europa.eu/en/notice/-/detail/174181-2019</t>
        </is>
      </c>
      <c r="V66" s="26" t="inlineStr">
        <is>
          <t>Procurement of 52 military trailers for transporting ISO 1C and ISO 1CC containers, Flatrack 20' platforms and other derived platforms. Category VO4 trailers. The procurement procedure was cancelled due to only one participant.</t>
        </is>
      </c>
      <c r="W66" s="26" t="inlineStr">
        <is>
          <t>TED</t>
        </is>
      </c>
      <c r="X66" s="26" t="inlineStr"/>
    </row>
    <row r="67" ht="45" customHeight="1">
      <c r="B67" s="26" t="inlineStr">
        <is>
          <t>476399-2023</t>
        </is>
      </c>
      <c r="C67" s="26" t="inlineStr">
        <is>
          <t>Field Kitchen - Refrigerated Freezer Trailers</t>
        </is>
      </c>
      <c r="D67" s="26" t="inlineStr">
        <is>
          <t>Czech Republic</t>
        </is>
      </c>
      <c r="E67" s="26" t="inlineStr">
        <is>
          <t>Ministerstvo obrany</t>
        </is>
      </c>
      <c r="F67" s="27" t="n">
        <v>45142</v>
      </c>
      <c r="G67" s="26" t="inlineStr">
        <is>
          <t>Awarded</t>
        </is>
      </c>
      <c r="H67" s="28" t="n">
        <v>50247933.88</v>
      </c>
      <c r="I67" s="26" t="inlineStr">
        <is>
          <t>CZK</t>
        </is>
      </c>
      <c r="J67" s="28" t="n">
        <v>2009917</v>
      </c>
      <c r="K67" s="26" t="inlineStr">
        <is>
          <t>Dual-chamber refrigerated trailer on single-axle terrain chassis</t>
        </is>
      </c>
      <c r="L67" s="26" t="inlineStr">
        <is>
          <t>Field Kitchen</t>
        </is>
      </c>
      <c r="M67" s="26" t="n"/>
      <c r="N67" s="26" t="inlineStr"/>
      <c r="O67" s="26" t="inlineStr"/>
      <c r="P67" s="26" t="n"/>
      <c r="Q67" s="26" t="inlineStr"/>
      <c r="R67" s="26" t="n"/>
      <c r="S67" s="26" t="inlineStr"/>
      <c r="T67" s="26" t="inlineStr">
        <is>
          <t>AGADOS, spol. s r.o.</t>
        </is>
      </c>
      <c r="U67" s="29" t="inlineStr">
        <is>
          <t>https://ted.europa.eu/en/notice/-/detail/476399-2023</t>
        </is>
      </c>
      <c r="V67" s="26" t="inlineStr">
        <is>
          <t>Procurement of dual-chamber refrigerated trailers on single-axle terrain chassis for transport, storage and preservation of food in chilled or frozen state for military field operations.</t>
        </is>
      </c>
      <c r="W67" s="26" t="inlineStr">
        <is>
          <t>TED</t>
        </is>
      </c>
      <c r="X67" s="26" t="inlineStr"/>
    </row>
    <row r="68" ht="45" customHeight="1">
      <c r="B68" s="26" t="inlineStr">
        <is>
          <t>533765-2019</t>
        </is>
      </c>
      <c r="C68" s="26" t="inlineStr">
        <is>
          <t>Cargo Carriers</t>
        </is>
      </c>
      <c r="D68" s="26" t="inlineStr">
        <is>
          <t>Croatia</t>
        </is>
      </c>
      <c r="E68" s="26" t="inlineStr">
        <is>
          <t>Ministarstvo obrane Republike Hrvatske</t>
        </is>
      </c>
      <c r="F68" s="27" t="n">
        <v>43780</v>
      </c>
      <c r="G68" s="26" t="inlineStr">
        <is>
          <t>Awarded</t>
        </is>
      </c>
      <c r="H68" s="28" t="n">
        <v>4939476.43</v>
      </c>
      <c r="I68" s="26" t="inlineStr">
        <is>
          <t>HRK</t>
        </is>
      </c>
      <c r="J68" s="28" t="n">
        <v>656950</v>
      </c>
      <c r="K68" s="26" t="inlineStr">
        <is>
          <t>Military cargo carrier (type not specified in notice)</t>
        </is>
      </c>
      <c r="L68" s="26" t="inlineStr">
        <is>
          <t>Cargo Trailer</t>
        </is>
      </c>
      <c r="M68" s="26" t="n"/>
      <c r="N68" s="26" t="inlineStr"/>
      <c r="O68" s="26" t="inlineStr"/>
      <c r="P68" s="26" t="n"/>
      <c r="Q68" s="26" t="inlineStr"/>
      <c r="R68" s="26" t="n"/>
      <c r="S68" s="26" t="inlineStr"/>
      <c r="T68" s="26" t="inlineStr">
        <is>
          <t>Upgrade d.o.o.</t>
        </is>
      </c>
      <c r="U68" s="29" t="inlineStr">
        <is>
          <t>https://ted.europa.eu/en/notice/-/detail/533765-2019</t>
        </is>
      </c>
      <c r="V68" s="26" t="inlineStr">
        <is>
          <t>Procurement of cargo carriers by Croatian Ministry of Defence</t>
        </is>
      </c>
      <c r="W68" s="26" t="inlineStr">
        <is>
          <t>TED</t>
        </is>
      </c>
      <c r="X68" s="26" t="inlineStr"/>
    </row>
    <row r="69" ht="45" customHeight="1">
      <c r="B69" s="26" t="inlineStr">
        <is>
          <t>586629-2020</t>
        </is>
      </c>
      <c r="C69" s="26" t="inlineStr">
        <is>
          <t>Water Tank Trailers 2 Ton</t>
        </is>
      </c>
      <c r="D69" s="26" t="inlineStr">
        <is>
          <t>Spain</t>
        </is>
      </c>
      <c r="E69" s="26" t="inlineStr">
        <is>
          <t>Jefatura de Asuntos Económicos del Mando de Apoyo Logístico</t>
        </is>
      </c>
      <c r="F69" s="27" t="n">
        <v>44169</v>
      </c>
      <c r="G69" s="26" t="inlineStr">
        <is>
          <t>Awarded</t>
        </is>
      </c>
      <c r="H69" s="28" t="n">
        <v>217937.29</v>
      </c>
      <c r="I69" s="26" t="inlineStr">
        <is>
          <t>EUR</t>
        </is>
      </c>
      <c r="J69" s="28" t="n">
        <v>217937</v>
      </c>
      <c r="K69" s="26" t="inlineStr">
        <is>
          <t>2-ton water tank trailer</t>
        </is>
      </c>
      <c r="L69" s="26" t="inlineStr">
        <is>
          <t>Tank Trailer</t>
        </is>
      </c>
      <c r="M69" s="26" t="n"/>
      <c r="N69" s="26" t="inlineStr"/>
      <c r="O69" s="26" t="inlineStr"/>
      <c r="P69" s="26" t="n"/>
      <c r="Q69" s="26" t="inlineStr"/>
      <c r="R69" s="26" t="n"/>
      <c r="S69" s="26" t="inlineStr"/>
      <c r="T69" s="26" t="inlineStr">
        <is>
          <t>Marzasa Martin Zaballos, S. A.</t>
        </is>
      </c>
      <c r="U69" s="29" t="inlineStr">
        <is>
          <t>https://ted.europa.eu/en/notice/-/detail/586629-2020</t>
        </is>
      </c>
      <c r="V69" s="26" t="inlineStr">
        <is>
          <t>Acquisition of 2-ton water tank trailers (remolques Aljibe) for Spanish military logistics support. Contract awarded through negotiated procedure without prior publication due to exclusive rights protection.</t>
        </is>
      </c>
      <c r="W69" s="26" t="inlineStr">
        <is>
          <t>TED</t>
        </is>
      </c>
      <c r="X69" s="26" t="inlineStr"/>
    </row>
    <row r="70" ht="45" customHeight="1">
      <c r="B70" s="26" t="inlineStr">
        <is>
          <t>236275-2019</t>
        </is>
      </c>
      <c r="C70" s="26" t="inlineStr">
        <is>
          <t>Refuelling trailers</t>
        </is>
      </c>
      <c r="D70" s="26" t="inlineStr">
        <is>
          <t>Finland</t>
        </is>
      </c>
      <c r="E70" s="26" t="inlineStr">
        <is>
          <t>Puolustusvoimat</t>
        </is>
      </c>
      <c r="F70" s="27" t="n">
        <v>43606</v>
      </c>
      <c r="G70" s="26" t="inlineStr">
        <is>
          <t>Awarded</t>
        </is>
      </c>
      <c r="H70" s="28" t="n">
        <v>890100</v>
      </c>
      <c r="I70" s="26" t="inlineStr">
        <is>
          <t>EUR</t>
        </is>
      </c>
      <c r="J70" s="28" t="n">
        <v>890100</v>
      </c>
      <c r="K70" s="26" t="inlineStr">
        <is>
          <t>Military refuelling trailer</t>
        </is>
      </c>
      <c r="L70" s="26" t="inlineStr">
        <is>
          <t>Tank Trailer</t>
        </is>
      </c>
      <c r="M70" s="28" t="n">
        <v>23</v>
      </c>
      <c r="N70" s="26" t="inlineStr"/>
      <c r="O70" s="26" t="inlineStr"/>
      <c r="P70" s="26" t="n"/>
      <c r="Q70" s="26" t="inlineStr"/>
      <c r="R70" s="26" t="n"/>
      <c r="S70" s="26" t="inlineStr"/>
      <c r="T70" s="26" t="inlineStr">
        <is>
          <t>Jet-Tekno Oy</t>
        </is>
      </c>
      <c r="U70" s="29" t="inlineStr">
        <is>
          <t>https://ted.europa.eu/en/notice/-/detail/236275-2019</t>
        </is>
      </c>
      <c r="V70" s="26" t="inlineStr">
        <is>
          <t>Procurement of refuelling trailers for military use</t>
        </is>
      </c>
      <c r="W70" s="26" t="inlineStr">
        <is>
          <t>TED</t>
        </is>
      </c>
      <c r="X70" s="26" t="inlineStr"/>
    </row>
    <row r="71" ht="45" customHeight="1">
      <c r="B71" s="26" t="inlineStr">
        <is>
          <t>437702-2018</t>
        </is>
      </c>
      <c r="C71" s="26" t="inlineStr">
        <is>
          <t>Military ISO Container Transport Trailers</t>
        </is>
      </c>
      <c r="D71" s="26" t="inlineStr">
        <is>
          <t>Czech Republic</t>
        </is>
      </c>
      <c r="E71" s="26" t="inlineStr">
        <is>
          <t>Česká republika - Ministerstvo obrany</t>
        </is>
      </c>
      <c r="F71" s="27" t="n">
        <v>43379</v>
      </c>
      <c r="G71" s="26" t="inlineStr">
        <is>
          <t>Closed</t>
        </is>
      </c>
      <c r="H71" s="26" t="n"/>
      <c r="I71" s="26" t="inlineStr"/>
      <c r="J71" s="26" t="n"/>
      <c r="K71" s="26" t="inlineStr">
        <is>
          <t>Military ISO container transport trailer category VO4</t>
        </is>
      </c>
      <c r="L71" s="26" t="inlineStr">
        <is>
          <t>Cargo Trailer</t>
        </is>
      </c>
      <c r="M71" s="28" t="n">
        <v>52</v>
      </c>
      <c r="N71" s="26" t="inlineStr"/>
      <c r="O71" s="26" t="inlineStr"/>
      <c r="P71" s="26" t="n"/>
      <c r="Q71" s="26" t="inlineStr"/>
      <c r="R71" s="26" t="n"/>
      <c r="S71" s="26" t="inlineStr"/>
      <c r="T71" s="26" t="inlineStr"/>
      <c r="U71" s="29" t="inlineStr">
        <is>
          <t>https://ted.europa.eu/en/notice/-/detail/437702-2018</t>
        </is>
      </c>
      <c r="V71" s="26" t="inlineStr">
        <is>
          <t>Procurement of 52 military trailers for transporting ISO containers category VO4, designed for ISO 1C, ISO 1CC containers and Flatrack 20' platforms. Optional additional 30 units may be ordered for 2022-2024 delivery.</t>
        </is>
      </c>
      <c r="W71" s="26" t="inlineStr">
        <is>
          <t>TED</t>
        </is>
      </c>
      <c r="X71" s="26" t="inlineStr"/>
    </row>
    <row r="72" ht="45" customHeight="1">
      <c r="B72" s="26" t="inlineStr">
        <is>
          <t>222647-2022</t>
        </is>
      </c>
      <c r="C72" s="26" t="inlineStr">
        <is>
          <t>Mobile units on trailers</t>
        </is>
      </c>
      <c r="D72" s="26" t="inlineStr">
        <is>
          <t>Sweden</t>
        </is>
      </c>
      <c r="E72" s="26" t="inlineStr">
        <is>
          <t>FMV</t>
        </is>
      </c>
      <c r="F72" s="27" t="n">
        <v>44678</v>
      </c>
      <c r="G72" s="26" t="inlineStr">
        <is>
          <t>Closed</t>
        </is>
      </c>
      <c r="H72" s="26" t="n"/>
      <c r="I72" s="26" t="inlineStr"/>
      <c r="J72" s="26" t="n"/>
      <c r="K72" s="26" t="inlineStr">
        <is>
          <t>Mobile unit trailer (type not specified in notice)</t>
        </is>
      </c>
      <c r="L72" s="26" t="inlineStr">
        <is>
          <t>Mission Module</t>
        </is>
      </c>
      <c r="M72" s="28" t="n">
        <v>2</v>
      </c>
      <c r="N72" s="26" t="inlineStr"/>
      <c r="O72" s="26" t="inlineStr"/>
      <c r="P72" s="26" t="n"/>
      <c r="Q72" s="26" t="inlineStr"/>
      <c r="R72" s="26" t="n"/>
      <c r="S72" s="26" t="inlineStr"/>
      <c r="T72" s="26" t="inlineStr"/>
      <c r="U72" s="29" t="inlineStr">
        <is>
          <t>https://ted.europa.eu/en/notice/-/detail/222647-2022</t>
        </is>
      </c>
      <c r="V72" s="26" t="inlineStr">
        <is>
          <t>Procurement of mobile units mounted on trailer platforms for military use</t>
        </is>
      </c>
      <c r="W72" s="26" t="inlineStr">
        <is>
          <t>TED</t>
        </is>
      </c>
      <c r="X72" s="26" t="inlineStr"/>
    </row>
    <row r="73" ht="45" customHeight="1">
      <c r="B73" s="26" t="inlineStr">
        <is>
          <t>302549-2020</t>
        </is>
      </c>
      <c r="C73" s="26" t="inlineStr">
        <is>
          <t>Acquisition of weapon trailers and associated services</t>
        </is>
      </c>
      <c r="D73" s="26" t="inlineStr">
        <is>
          <t>France</t>
        </is>
      </c>
      <c r="E73" s="26" t="inlineStr">
        <is>
          <t>Minarm/Dmaé</t>
        </is>
      </c>
      <c r="F73" s="27" t="n">
        <v>44011</v>
      </c>
      <c r="G73" s="26" t="inlineStr">
        <is>
          <t>Closed</t>
        </is>
      </c>
      <c r="H73" s="26" t="n"/>
      <c r="I73" s="26" t="inlineStr"/>
      <c r="J73" s="26" t="n"/>
      <c r="K73" s="26" t="inlineStr">
        <is>
          <t>Military weapon trailer</t>
        </is>
      </c>
      <c r="L73" s="26" t="inlineStr">
        <is>
          <t>Ammunition Trailer</t>
        </is>
      </c>
      <c r="M73" s="28" t="n">
        <v>150</v>
      </c>
      <c r="N73" s="26" t="inlineStr"/>
      <c r="O73" s="26" t="inlineStr"/>
      <c r="P73" s="26" t="n"/>
      <c r="Q73" s="26" t="inlineStr">
        <is>
          <t>Spare parts, documentation, training services</t>
        </is>
      </c>
      <c r="R73" s="26" t="n"/>
      <c r="S73" s="26" t="inlineStr">
        <is>
          <t>60 months</t>
        </is>
      </c>
      <c r="T73" s="26" t="inlineStr"/>
      <c r="U73" s="29" t="inlineStr">
        <is>
          <t>https://ted.europa.eu/en/notice/-/detail/302549-2020</t>
        </is>
      </c>
      <c r="V73" s="26" t="inlineStr">
        <is>
          <t>Procurement of weapon trailers for the French Air Force, Navy, and DGA flight testing. Includes spare parts, documentation, and training for implementation and maintenance. Contract covers both fixed-price services and order-based provisions.</t>
        </is>
      </c>
      <c r="W73" s="26" t="inlineStr">
        <is>
          <t>TED</t>
        </is>
      </c>
      <c r="X73" s="26" t="inlineStr"/>
    </row>
    <row r="74" ht="45" customHeight="1">
      <c r="B74" s="26" t="inlineStr">
        <is>
          <t>109414-2018</t>
        </is>
      </c>
      <c r="C74" s="26" t="inlineStr">
        <is>
          <t>Refuelling trailers</t>
        </is>
      </c>
      <c r="D74" s="26" t="inlineStr">
        <is>
          <t>Finland</t>
        </is>
      </c>
      <c r="E74" s="26" t="inlineStr">
        <is>
          <t>Puolustusvoimien logistiikkalaitos</t>
        </is>
      </c>
      <c r="F74" s="27" t="n">
        <v>43169</v>
      </c>
      <c r="G74" s="26" t="inlineStr">
        <is>
          <t>Closed</t>
        </is>
      </c>
      <c r="H74" s="28" t="n">
        <v>950000</v>
      </c>
      <c r="I74" s="26" t="inlineStr">
        <is>
          <t>EUR</t>
        </is>
      </c>
      <c r="J74" s="28" t="n">
        <v>950000</v>
      </c>
      <c r="K74" s="26" t="inlineStr">
        <is>
          <t>Military refuelling trailer (type not specified in notice)</t>
        </is>
      </c>
      <c r="L74" s="26" t="inlineStr">
        <is>
          <t>Tank Trailer</t>
        </is>
      </c>
      <c r="M74" s="28" t="n">
        <v>23</v>
      </c>
      <c r="N74" s="26" t="inlineStr"/>
      <c r="O74" s="26" t="inlineStr"/>
      <c r="P74" s="26" t="n"/>
      <c r="Q74" s="26" t="inlineStr"/>
      <c r="R74" s="26" t="n"/>
      <c r="S74" s="26" t="inlineStr"/>
      <c r="T74" s="26" t="inlineStr"/>
      <c r="U74" s="29" t="inlineStr">
        <is>
          <t>https://ted.europa.eu/en/notice/-/detail/109414-2018</t>
        </is>
      </c>
      <c r="V74" s="26" t="inlineStr">
        <is>
          <t>Procurement of refuelling trailers for military use</t>
        </is>
      </c>
      <c r="W74" s="26" t="inlineStr">
        <is>
          <t>TED</t>
        </is>
      </c>
      <c r="X74" s="26" t="inlineStr"/>
    </row>
    <row r="75" ht="45" customHeight="1">
      <c r="B75" s="26" t="inlineStr">
        <is>
          <t>433510-2022</t>
        </is>
      </c>
      <c r="C75" s="26" t="inlineStr">
        <is>
          <t>France - Acquisition of armament trailers and associated services</t>
        </is>
      </c>
      <c r="D75" s="26" t="inlineStr">
        <is>
          <t>France</t>
        </is>
      </c>
      <c r="E75" s="26" t="inlineStr">
        <is>
          <t>minarm/Dmaé</t>
        </is>
      </c>
      <c r="F75" s="27" t="n">
        <v>44781</v>
      </c>
      <c r="G75" s="26" t="inlineStr">
        <is>
          <t>Awarded</t>
        </is>
      </c>
      <c r="H75" s="28" t="n">
        <v>8112744</v>
      </c>
      <c r="I75" s="26" t="inlineStr">
        <is>
          <t>EUR</t>
        </is>
      </c>
      <c r="J75" s="28" t="n">
        <v>8112744</v>
      </c>
      <c r="K75" s="26" t="inlineStr">
        <is>
          <t>Military armament trailer (type not specified in notice)</t>
        </is>
      </c>
      <c r="L75" s="26" t="inlineStr">
        <is>
          <t>Ammunition Trailer</t>
        </is>
      </c>
      <c r="M75" s="26" t="n"/>
      <c r="N75" s="26" t="inlineStr"/>
      <c r="O75" s="26" t="inlineStr"/>
      <c r="P75" s="26" t="n"/>
      <c r="Q75" s="26" t="inlineStr"/>
      <c r="R75" s="26" t="n"/>
      <c r="S75" s="26" t="inlineStr">
        <is>
          <t>60 months</t>
        </is>
      </c>
      <c r="T75" s="26" t="inlineStr">
        <is>
          <t>REMORQUES LOUAULT SARL</t>
        </is>
      </c>
      <c r="U75" s="29" t="inlineStr">
        <is>
          <t>https://ted.europa.eu/en/notice/-/detail/433510-2022</t>
        </is>
      </c>
      <c r="V75" s="26" t="inlineStr">
        <is>
          <t>Procurement of armament trailers and associated services for the French Air Force, Navy, and General Directorate of Armament - Flight Test. 60-month contract duration. Negotiated procedure with 2 tenders received, awarded to REMORQUES LOUAULT SARL.</t>
        </is>
      </c>
      <c r="W75" s="26" t="inlineStr">
        <is>
          <t>TED</t>
        </is>
      </c>
      <c r="X75" s="26" t="inlineStr"/>
    </row>
    <row r="76" ht="45" customHeight="1">
      <c r="B76" s="26" t="inlineStr">
        <is>
          <t>140710-2026</t>
        </is>
      </c>
      <c r="C76" s="26" t="inlineStr">
        <is>
          <t>Italy - Mobile CBRN Laboratory Container and Military Tactical Transport Vehicle for Lebanon</t>
        </is>
      </c>
      <c r="D76" s="26" t="inlineStr">
        <is>
          <t>Italy</t>
        </is>
      </c>
      <c r="E76" s="26" t="inlineStr">
        <is>
          <t>AGENZIA INDUSTRIE DIFESA</t>
        </is>
      </c>
      <c r="F76" s="27" t="n">
        <v>46080</v>
      </c>
      <c r="G76" s="26" t="inlineStr">
        <is>
          <t>Closed</t>
        </is>
      </c>
      <c r="H76" s="28" t="n">
        <v>1240000</v>
      </c>
      <c r="I76" s="26" t="inlineStr">
        <is>
          <t>EUR</t>
        </is>
      </c>
      <c r="J76" s="28" t="n">
        <v>1240000</v>
      </c>
      <c r="K76" s="26" t="inlineStr">
        <is>
          <t>Mobile CBRN Laboratory Container</t>
        </is>
      </c>
      <c r="L76" s="26" t="inlineStr">
        <is>
          <t>Mission Module</t>
        </is>
      </c>
      <c r="M76" s="26" t="n"/>
      <c r="N76" s="26" t="inlineStr"/>
      <c r="O76" s="26" t="inlineStr"/>
      <c r="P76" s="26" t="n"/>
      <c r="Q76" s="26" t="inlineStr">
        <is>
          <t>Military tactical logistic transport vehicle</t>
        </is>
      </c>
      <c r="R76" s="26" t="n"/>
      <c r="S76" s="26" t="inlineStr">
        <is>
          <t>180 Days</t>
        </is>
      </c>
      <c r="T76" s="26" t="inlineStr"/>
      <c r="U76" s="29" t="inlineStr">
        <is>
          <t>https://ted.europa.eu/en/notice/-/detail/140710-2026</t>
        </is>
      </c>
      <c r="V76" s="26" t="inlineStr">
        <is>
          <t>Supply, transport and training in Lebanon for Mobile CBRN Laboratory Container and military tactical logistic transport vehicle to support capability development of Lebanese Armed Forces and security institutions</t>
        </is>
      </c>
      <c r="W76" s="26" t="inlineStr">
        <is>
          <t>TED</t>
        </is>
      </c>
      <c r="X76" s="26" t="inlineStr"/>
    </row>
    <row r="77" ht="45" customHeight="1">
      <c r="B77" s="26" t="inlineStr">
        <is>
          <t>320781-2017</t>
        </is>
      </c>
      <c r="C77" s="26" t="inlineStr">
        <is>
          <t>Vehicle bodies, trailers or semi-trailers</t>
        </is>
      </c>
      <c r="D77" s="26" t="inlineStr">
        <is>
          <t>Poland</t>
        </is>
      </c>
      <c r="E77" s="26" t="inlineStr">
        <is>
          <t>Inspektorat Uzbrojenia</t>
        </is>
      </c>
      <c r="F77" s="27" t="n">
        <v>42959</v>
      </c>
      <c r="G77" s="26" t="inlineStr">
        <is>
          <t>Closed</t>
        </is>
      </c>
      <c r="H77" s="26" t="n"/>
      <c r="I77" s="26" t="inlineStr"/>
      <c r="J77" s="26" t="n"/>
      <c r="K77" s="26" t="inlineStr">
        <is>
          <t>Military trailer (type not specified in notice)</t>
        </is>
      </c>
      <c r="L77" s="26" t="inlineStr">
        <is>
          <t>Other</t>
        </is>
      </c>
      <c r="M77" s="28" t="n">
        <v>65</v>
      </c>
      <c r="N77" s="26" t="inlineStr"/>
      <c r="O77" s="26" t="inlineStr"/>
      <c r="P77" s="26" t="n"/>
      <c r="Q77" s="26" t="inlineStr"/>
      <c r="R77" s="26" t="n"/>
      <c r="S77" s="26" t="inlineStr">
        <is>
          <t>48 months</t>
        </is>
      </c>
      <c r="T77" s="26" t="inlineStr"/>
      <c r="U77" s="29" t="inlineStr">
        <is>
          <t>https://ted.europa.eu/en/notice/-/detail/320781-2017</t>
        </is>
      </c>
      <c r="V77" s="26" t="inlineStr">
        <is>
          <t>Military procurement of vehicle bodies, trailers or semi-trailers by Polish Armed Forces</t>
        </is>
      </c>
      <c r="W77" s="26" t="inlineStr">
        <is>
          <t>TED</t>
        </is>
      </c>
      <c r="X77" s="26" t="inlineStr"/>
    </row>
    <row r="78" ht="45" customHeight="1">
      <c r="B78" s="26" t="inlineStr">
        <is>
          <t>236276-2019</t>
        </is>
      </c>
      <c r="C78" s="26" t="inlineStr">
        <is>
          <t>Universal Container Maintenance Workshops (UKWO-N) without base chassis</t>
        </is>
      </c>
      <c r="D78" s="26" t="inlineStr">
        <is>
          <t>Poland</t>
        </is>
      </c>
      <c r="E78" s="26" t="inlineStr">
        <is>
          <t>Inspektorat Uzbrojenia</t>
        </is>
      </c>
      <c r="F78" s="27" t="n">
        <v>43606</v>
      </c>
      <c r="G78" s="26" t="inlineStr">
        <is>
          <t>Awarded</t>
        </is>
      </c>
      <c r="H78" s="28" t="n">
        <v>100390260</v>
      </c>
      <c r="I78" s="26" t="inlineStr">
        <is>
          <t>PLN</t>
        </is>
      </c>
      <c r="J78" s="28" t="n">
        <v>23390931</v>
      </c>
      <c r="K78" s="26" t="inlineStr">
        <is>
          <t>20-foot expandable container workshop system</t>
        </is>
      </c>
      <c r="L78" s="26" t="inlineStr">
        <is>
          <t>Mission Module</t>
        </is>
      </c>
      <c r="M78" s="28" t="n">
        <v>15</v>
      </c>
      <c r="N78" s="26" t="inlineStr"/>
      <c r="O78" s="26" t="inlineStr"/>
      <c r="P78" s="26" t="n"/>
      <c r="Q78" s="26" t="inlineStr">
        <is>
          <t>Option for up to 50 additional workshop containers</t>
        </is>
      </c>
      <c r="R78" s="28" t="n">
        <v>50</v>
      </c>
      <c r="S78" s="26" t="inlineStr"/>
      <c r="T78" s="26" t="inlineStr">
        <is>
          <t>Konsorcjum firm: Huta Stalowa Wola S.A. (lider), Autosan Sp. z o.o., Janusz Kania Agregaty Pex-pool Plus</t>
        </is>
      </c>
      <c r="U78" s="29" t="inlineStr">
        <is>
          <t>https://ted.europa.eu/en/notice/-/detail/236276-2019</t>
        </is>
      </c>
      <c r="V78" s="26" t="inlineStr">
        <is>
          <t>Supply of 15 Universal Container Maintenance Workshops (UKWO-N) without base chassis - 20-foot expandable containers divided into technical, work and social compartments. Option for up to 50 additional units.</t>
        </is>
      </c>
      <c r="W78" s="26" t="inlineStr">
        <is>
          <t>TED</t>
        </is>
      </c>
      <c r="X78" s="26" t="inlineStr"/>
    </row>
    <row r="79" ht="45" customHeight="1">
      <c r="B79" s="26" t="inlineStr">
        <is>
          <t>561333-2024</t>
        </is>
      </c>
      <c r="C79" s="26" t="inlineStr">
        <is>
          <t>Mobile Climate Chambers - Request for Information</t>
        </is>
      </c>
      <c r="D79" s="26" t="inlineStr">
        <is>
          <t>Norway</t>
        </is>
      </c>
      <c r="E79" s="26" t="inlineStr">
        <is>
          <t>Norwegian Defence Materiel Agency</t>
        </is>
      </c>
      <c r="F79" s="27" t="n">
        <v>45553</v>
      </c>
      <c r="G79" s="26" t="inlineStr">
        <is>
          <t>Closed</t>
        </is>
      </c>
      <c r="H79" s="26" t="n"/>
      <c r="I79" s="26" t="inlineStr"/>
      <c r="J79" s="26" t="n"/>
      <c r="K79" s="26" t="inlineStr">
        <is>
          <t>Mobile climate chamber trailer</t>
        </is>
      </c>
      <c r="L79" s="26" t="inlineStr">
        <is>
          <t>Special Purpose</t>
        </is>
      </c>
      <c r="M79" s="26" t="n"/>
      <c r="N79" s="26" t="inlineStr"/>
      <c r="O79" s="26" t="inlineStr"/>
      <c r="P79" s="26" t="n"/>
      <c r="Q79" s="26" t="inlineStr"/>
      <c r="R79" s="26" t="n"/>
      <c r="S79" s="26" t="inlineStr"/>
      <c r="T79" s="26" t="inlineStr"/>
      <c r="U79" s="29" t="inlineStr">
        <is>
          <t>https://ted.europa.eu/en/notice/-/detail/561333-2024</t>
        </is>
      </c>
      <c r="V79" s="26" t="inlineStr">
        <is>
          <t>Request for information for mobile climate chambers mounted on trailers for military use. This is an RFI process, not a tender invitation.</t>
        </is>
      </c>
      <c r="W79" s="26" t="inlineStr">
        <is>
          <t>TED</t>
        </is>
      </c>
      <c r="X79" s="26" t="inlineStr"/>
    </row>
    <row r="80" ht="45" customHeight="1">
      <c r="B80" s="26" t="inlineStr">
        <is>
          <t>143718-2018</t>
        </is>
      </c>
      <c r="C80" s="26" t="inlineStr">
        <is>
          <t>Universal Containerized Maintenance-Repair Workshops (UKWO-N) without base chassis</t>
        </is>
      </c>
      <c r="D80" s="26" t="inlineStr">
        <is>
          <t>Poland</t>
        </is>
      </c>
      <c r="E80" s="26" t="inlineStr">
        <is>
          <t>Inspektorat Uzbrojenia</t>
        </is>
      </c>
      <c r="F80" s="27" t="n">
        <v>43190</v>
      </c>
      <c r="G80" s="26" t="inlineStr">
        <is>
          <t>Closed</t>
        </is>
      </c>
      <c r="H80" s="26" t="n"/>
      <c r="I80" s="26" t="inlineStr"/>
      <c r="J80" s="26" t="n"/>
      <c r="K80" s="26" t="inlineStr">
        <is>
          <t>20-foot ISO expandable maintenance workshop container (without chassis)</t>
        </is>
      </c>
      <c r="L80" s="26" t="inlineStr">
        <is>
          <t>Mission Module</t>
        </is>
      </c>
      <c r="M80" s="28" t="n">
        <v>65</v>
      </c>
      <c r="N80" s="26" t="inlineStr"/>
      <c r="O80" s="26" t="inlineStr"/>
      <c r="P80" s="26" t="n"/>
      <c r="Q80" s="26" t="inlineStr"/>
      <c r="R80" s="26" t="n"/>
      <c r="S80" s="26" t="inlineStr"/>
      <c r="T80" s="26" t="inlineStr"/>
      <c r="U80" s="29" t="inlineStr">
        <is>
          <t>https://ted.europa.eu/en/notice/-/detail/143718-2018</t>
        </is>
      </c>
      <c r="V80" s="26" t="inlineStr">
        <is>
          <t>Delivery of 65 Universal Containerized Maintenance-Repair Workshops (UKWO-N) without base chassis - 20-foot ISO expandable containers with workshop equipment, control-measurement apparatus, and communication means. Divided into technical, work and social compartments with hydraulic supports and automatic leveling system.</t>
        </is>
      </c>
      <c r="W80" s="26" t="inlineStr">
        <is>
          <t>TED</t>
        </is>
      </c>
      <c r="X80" s="26" t="inlineStr"/>
    </row>
    <row r="81" ht="45" customHeight="1">
      <c r="B81" s="26" t="inlineStr">
        <is>
          <t>796372-2025</t>
        </is>
      </c>
      <c r="C81" s="26" t="inlineStr">
        <is>
          <t>Spain - Acquisition of light trailers and multiplatform trailers</t>
        </is>
      </c>
      <c r="D81" s="26" t="inlineStr">
        <is>
          <t>Spain</t>
        </is>
      </c>
      <c r="E81" s="26" t="inlineStr">
        <is>
          <t>Jefatura de Asuntos Económicos del Mando de Apoyo Logístico</t>
        </is>
      </c>
      <c r="F81" s="27" t="n">
        <v>45992</v>
      </c>
      <c r="G81" s="26" t="inlineStr">
        <is>
          <t>Awarded</t>
        </is>
      </c>
      <c r="H81" s="28" t="n">
        <v>250116000</v>
      </c>
      <c r="I81" s="26" t="inlineStr">
        <is>
          <t>EUR</t>
        </is>
      </c>
      <c r="J81" s="28" t="n">
        <v>250116000</v>
      </c>
      <c r="K81" s="26" t="inlineStr">
        <is>
          <t>Light military trailer</t>
        </is>
      </c>
      <c r="L81" s="26" t="inlineStr">
        <is>
          <t>Cargo Trailer</t>
        </is>
      </c>
      <c r="M81" s="26" t="n"/>
      <c r="N81" s="26" t="inlineStr">
        <is>
          <t>Multiplatform trailer</t>
        </is>
      </c>
      <c r="O81" s="26" t="inlineStr">
        <is>
          <t>Cargo Trailer</t>
        </is>
      </c>
      <c r="P81" s="26" t="n"/>
      <c r="Q81" s="26" t="inlineStr"/>
      <c r="R81" s="26" t="n"/>
      <c r="S81" s="26" t="inlineStr">
        <is>
          <t>4 Years</t>
        </is>
      </c>
      <c r="T81" s="26" t="inlineStr">
        <is>
          <t>Suyfa Defence, S.L.</t>
        </is>
      </c>
      <c r="U81" s="29" t="inlineStr">
        <is>
          <t>https://ted.europa.eu/en/notice/-/detail/796372-2025</t>
        </is>
      </c>
      <c r="V81" s="26" t="inlineStr">
        <is>
          <t>Procurement of two types of military trailers: Lot 1 consists of light trailers and multiplatform trailers for Spanish Armed Forces logistics support</t>
        </is>
      </c>
      <c r="W81" s="26" t="inlineStr">
        <is>
          <t>TED</t>
        </is>
      </c>
      <c r="X81" s="26" t="inlineStr"/>
    </row>
    <row r="82" ht="45" customHeight="1">
      <c r="B82" s="26" t="inlineStr">
        <is>
          <t>218375-2020</t>
        </is>
      </c>
      <c r="C82" s="26" t="inlineStr">
        <is>
          <t>Special-purpose mobile containers</t>
        </is>
      </c>
      <c r="D82" s="26" t="inlineStr">
        <is>
          <t>Italy</t>
        </is>
      </c>
      <c r="E82" s="26" t="inlineStr">
        <is>
          <t>Ministero della Difesa — SGD-DNA/Direzione degli armamenti terrestri</t>
        </is>
      </c>
      <c r="F82" s="27" t="n">
        <v>43962</v>
      </c>
      <c r="G82" s="26" t="inlineStr">
        <is>
          <t>Closed</t>
        </is>
      </c>
      <c r="H82" s="26" t="n"/>
      <c r="I82" s="26" t="inlineStr"/>
      <c r="J82" s="26" t="n"/>
      <c r="K82" s="26" t="inlineStr">
        <is>
          <t>Special-purpose mobile container</t>
        </is>
      </c>
      <c r="L82" s="26" t="inlineStr">
        <is>
          <t>Special Purpose</t>
        </is>
      </c>
      <c r="M82" s="26" t="n"/>
      <c r="N82" s="26" t="inlineStr"/>
      <c r="O82" s="26" t="inlineStr"/>
      <c r="P82" s="26" t="n"/>
      <c r="Q82" s="26" t="inlineStr"/>
      <c r="R82" s="26" t="n"/>
      <c r="S82" s="26" t="inlineStr"/>
      <c r="T82" s="26" t="inlineStr"/>
      <c r="U82" s="29" t="inlineStr">
        <is>
          <t>https://ted.europa.eu/en/notice/-/detail/218375-2020</t>
        </is>
      </c>
      <c r="V82" s="26" t="inlineStr">
        <is>
          <t>Procurement of special-purpose mobile containers by Italian Ministry of Defence</t>
        </is>
      </c>
      <c r="W82" s="26" t="inlineStr">
        <is>
          <t>TED</t>
        </is>
      </c>
      <c r="X82" s="26" t="inlineStr"/>
    </row>
    <row r="83" ht="45" customHeight="1">
      <c r="B83" s="26" t="inlineStr">
        <is>
          <t>158377-2020</t>
        </is>
      </c>
      <c r="C83" s="26" t="inlineStr">
        <is>
          <t>Special-purpose mobile containers</t>
        </is>
      </c>
      <c r="D83" s="26" t="inlineStr">
        <is>
          <t>United Kingdom</t>
        </is>
      </c>
      <c r="E83" s="26" t="inlineStr">
        <is>
          <t>Ministry of Defence, Land Equipment, Operational Infrastructure Programme (OIP)</t>
        </is>
      </c>
      <c r="F83" s="27" t="n">
        <v>43923</v>
      </c>
      <c r="G83" s="26" t="inlineStr">
        <is>
          <t>Awarded</t>
        </is>
      </c>
      <c r="H83" s="28" t="n">
        <v>20000000</v>
      </c>
      <c r="I83" s="26" t="inlineStr">
        <is>
          <t>GBP</t>
        </is>
      </c>
      <c r="J83" s="28" t="n">
        <v>23400000</v>
      </c>
      <c r="K83" s="26" t="inlineStr">
        <is>
          <t>Special-purpose mobile container system</t>
        </is>
      </c>
      <c r="L83" s="26" t="inlineStr">
        <is>
          <t>Special Purpose</t>
        </is>
      </c>
      <c r="M83" s="26" t="n"/>
      <c r="N83" s="26" t="inlineStr"/>
      <c r="O83" s="26" t="inlineStr"/>
      <c r="P83" s="26" t="n"/>
      <c r="Q83" s="26" t="inlineStr"/>
      <c r="R83" s="26" t="n"/>
      <c r="S83" s="26" t="inlineStr">
        <is>
          <t>60 months</t>
        </is>
      </c>
      <c r="T83" s="26" t="inlineStr">
        <is>
          <t>Marshall Aerospace and Defence Group</t>
        </is>
      </c>
      <c r="U83" s="29" t="inlineStr">
        <is>
          <t>https://ted.europa.eu/en/notice/-/detail/158377-2020</t>
        </is>
      </c>
      <c r="V83" s="26" t="inlineStr">
        <is>
          <t>Procurement of special-purpose mobile containers by UK Ministry of Defence Land Equipment through Operational Infrastructure Programme</t>
        </is>
      </c>
      <c r="W83" s="26" t="inlineStr">
        <is>
          <t>TED</t>
        </is>
      </c>
      <c r="X83" s="26" t="inlineStr"/>
    </row>
    <row r="84" ht="45" customHeight="1">
      <c r="B84" s="26" t="inlineStr">
        <is>
          <t>29224-2021</t>
        </is>
      </c>
      <c r="C84" s="26" t="inlineStr">
        <is>
          <t>Special-purpose mobile containers</t>
        </is>
      </c>
      <c r="D84" s="26" t="inlineStr">
        <is>
          <t>Italy</t>
        </is>
      </c>
      <c r="E84" s="26" t="inlineStr">
        <is>
          <t>Segretariato generale della Difesa e direzione nazionale degli armamenti —</t>
        </is>
      </c>
      <c r="F84" s="27" t="n">
        <v>44216</v>
      </c>
      <c r="G84" s="26" t="inlineStr">
        <is>
          <t>Awarded</t>
        </is>
      </c>
      <c r="H84" s="28" t="n">
        <v>543126.3100000001</v>
      </c>
      <c r="I84" s="26" t="inlineStr">
        <is>
          <t>EUR</t>
        </is>
      </c>
      <c r="J84" s="28" t="n">
        <v>543126</v>
      </c>
      <c r="K84" s="26" t="inlineStr">
        <is>
          <t>Special-purpose mobile container</t>
        </is>
      </c>
      <c r="L84" s="26" t="inlineStr">
        <is>
          <t>Special Purpose</t>
        </is>
      </c>
      <c r="M84" s="26" t="n"/>
      <c r="N84" s="26" t="inlineStr"/>
      <c r="O84" s="26" t="inlineStr"/>
      <c r="P84" s="26" t="n"/>
      <c r="Q84" s="26" t="inlineStr"/>
      <c r="R84" s="26" t="n"/>
      <c r="S84" s="26" t="inlineStr"/>
      <c r="T84" s="26" t="inlineStr">
        <is>
          <t>Società LEM SRL</t>
        </is>
      </c>
      <c r="U84" s="29" t="inlineStr">
        <is>
          <t>https://ted.europa.eu/en/notice/-/detail/29224-2021</t>
        </is>
      </c>
      <c r="V84" s="26" t="inlineStr">
        <is>
          <t>Procurement of special-purpose mobile containers by Italian Ministry of Defence</t>
        </is>
      </c>
      <c r="W84" s="26" t="inlineStr">
        <is>
          <t>TED</t>
        </is>
      </c>
      <c r="X84" s="26" t="inlineStr"/>
    </row>
    <row r="85" ht="45" customHeight="1">
      <c r="B85" s="26" t="inlineStr">
        <is>
          <t>72106-2017</t>
        </is>
      </c>
      <c r="C85" s="26" t="inlineStr">
        <is>
          <t>Special-purpose mobile containers</t>
        </is>
      </c>
      <c r="D85" s="26" t="inlineStr">
        <is>
          <t>United Kingdom</t>
        </is>
      </c>
      <c r="E85" s="26" t="inlineStr">
        <is>
          <t>Ministry of Defence, Information Systems and Services</t>
        </is>
      </c>
      <c r="F85" s="27" t="n">
        <v>42790</v>
      </c>
      <c r="G85" s="26" t="inlineStr">
        <is>
          <t>Awarded</t>
        </is>
      </c>
      <c r="H85" s="28" t="n">
        <v>261000</v>
      </c>
      <c r="I85" s="26" t="inlineStr">
        <is>
          <t>GBP</t>
        </is>
      </c>
      <c r="J85" s="28" t="n">
        <v>305370</v>
      </c>
      <c r="K85" s="26" t="inlineStr">
        <is>
          <t>Special-purpose mobile container</t>
        </is>
      </c>
      <c r="L85" s="26" t="inlineStr">
        <is>
          <t>Special Purpose</t>
        </is>
      </c>
      <c r="M85" s="26" t="n"/>
      <c r="N85" s="26" t="inlineStr"/>
      <c r="O85" s="26" t="inlineStr"/>
      <c r="P85" s="26" t="n"/>
      <c r="Q85" s="26" t="inlineStr"/>
      <c r="R85" s="26" t="n"/>
      <c r="S85" s="26" t="inlineStr">
        <is>
          <t>1 year</t>
        </is>
      </c>
      <c r="T85" s="26" t="inlineStr">
        <is>
          <t>Centiant International Limited</t>
        </is>
      </c>
      <c r="U85" s="29" t="inlineStr">
        <is>
          <t>https://ted.europa.eu/en/notice/-/detail/72106-2017</t>
        </is>
      </c>
      <c r="V85" s="26" t="inlineStr">
        <is>
          <t>Procurement of special-purpose mobile containers by UK Ministry of Defence</t>
        </is>
      </c>
      <c r="W85" s="26" t="inlineStr">
        <is>
          <t>TED</t>
        </is>
      </c>
      <c r="X85" s="26" t="inlineStr"/>
    </row>
    <row r="86" ht="45" customHeight="1">
      <c r="B86" s="26" t="inlineStr">
        <is>
          <t>222221-2019</t>
        </is>
      </c>
      <c r="C86" s="26" t="inlineStr">
        <is>
          <t>Horsebox trailers</t>
        </is>
      </c>
      <c r="D86" s="26" t="inlineStr">
        <is>
          <t>Ireland</t>
        </is>
      </c>
      <c r="E86" s="26" t="inlineStr">
        <is>
          <t>Defence Forces Ireland</t>
        </is>
      </c>
      <c r="F86" s="27" t="n">
        <v>43599</v>
      </c>
      <c r="G86" s="26" t="inlineStr">
        <is>
          <t>Awarded</t>
        </is>
      </c>
      <c r="H86" s="28" t="n">
        <v>230000</v>
      </c>
      <c r="I86" s="26" t="inlineStr">
        <is>
          <t>EUR</t>
        </is>
      </c>
      <c r="J86" s="28" t="n">
        <v>230000</v>
      </c>
      <c r="K86" s="26" t="inlineStr">
        <is>
          <t>Horsebox trailer</t>
        </is>
      </c>
      <c r="L86" s="26" t="inlineStr">
        <is>
          <t>Special Purpose</t>
        </is>
      </c>
      <c r="M86" s="28" t="n">
        <v>1</v>
      </c>
      <c r="N86" s="26" t="inlineStr"/>
      <c r="O86" s="26" t="inlineStr"/>
      <c r="P86" s="26" t="n"/>
      <c r="Q86" s="26" t="inlineStr"/>
      <c r="R86" s="26" t="n"/>
      <c r="S86" s="26" t="inlineStr"/>
      <c r="T86" s="26" t="inlineStr">
        <is>
          <t>Westward Scania</t>
        </is>
      </c>
      <c r="U86" s="29" t="inlineStr">
        <is>
          <t>https://ted.europa.eu/en/notice/-/detail/222221-2019</t>
        </is>
      </c>
      <c r="V86" s="26" t="inlineStr">
        <is>
          <t>Procurement of horsebox trailers by Defence Forces Ireland</t>
        </is>
      </c>
      <c r="W86" s="26" t="inlineStr">
        <is>
          <t>TED</t>
        </is>
      </c>
      <c r="X86" s="26" t="inlineStr"/>
    </row>
    <row r="87" ht="45" customHeight="1">
      <c r="B87" s="26" t="inlineStr">
        <is>
          <t>224545-2026</t>
        </is>
      </c>
      <c r="C87" s="26" t="inlineStr">
        <is>
          <t>Sweden - CBRN Decontamination Containers</t>
        </is>
      </c>
      <c r="D87" s="26" t="inlineStr">
        <is>
          <t>Sweden</t>
        </is>
      </c>
      <c r="E87" s="26" t="inlineStr">
        <is>
          <t>FMV</t>
        </is>
      </c>
      <c r="F87" s="27" t="n">
        <v>46113</v>
      </c>
      <c r="G87" s="26" t="inlineStr">
        <is>
          <t>Open</t>
        </is>
      </c>
      <c r="H87" s="26" t="n"/>
      <c r="I87" s="26" t="inlineStr"/>
      <c r="J87" s="26" t="n"/>
      <c r="K87" s="26" t="inlineStr">
        <is>
          <t>CBRN decontamination container system</t>
        </is>
      </c>
      <c r="L87" s="26" t="inlineStr">
        <is>
          <t>Special Purpose</t>
        </is>
      </c>
      <c r="M87" s="28" t="n">
        <v>15</v>
      </c>
      <c r="N87" s="26" t="inlineStr"/>
      <c r="O87" s="26" t="inlineStr"/>
      <c r="P87" s="26" t="n"/>
      <c r="Q87" s="26" t="inlineStr">
        <is>
          <t>Option for 15 additional units over 5-year period</t>
        </is>
      </c>
      <c r="R87" s="28" t="n">
        <v>15</v>
      </c>
      <c r="S87" s="26" t="inlineStr"/>
      <c r="T87" s="26" t="inlineStr"/>
      <c r="U87" s="29" t="inlineStr">
        <is>
          <t>https://ted.europa.eu/en/notice/-/detail/224545-2026</t>
        </is>
      </c>
      <c r="V87" s="26" t="inlineStr">
        <is>
          <t>Procurement of 15 special-purpose mobile containers for CBRN decontamination of equipment, vehicles and surfaces, plus collective protection spaces. Includes option for 15 additional units over 5 years. Part of heavy decontamination project. Includes ILS, training, CLS and spare parts.</t>
        </is>
      </c>
      <c r="W87" s="26" t="inlineStr">
        <is>
          <t>TED</t>
        </is>
      </c>
      <c r="X87" s="26" t="inlineStr"/>
    </row>
    <row r="88" ht="45" customHeight="1">
      <c r="B88" s="26" t="inlineStr">
        <is>
          <t>185625-2018</t>
        </is>
      </c>
      <c r="C88" s="26" t="inlineStr">
        <is>
          <t>Special-purpose mobile containers</t>
        </is>
      </c>
      <c r="D88" s="26" t="inlineStr">
        <is>
          <t>Denmark</t>
        </is>
      </c>
      <c r="E88" s="26" t="inlineStr">
        <is>
          <t>Danish Defence Acquisition and Logistics Organization (DALO)</t>
        </is>
      </c>
      <c r="F88" s="27" t="n">
        <v>43217</v>
      </c>
      <c r="G88" s="26" t="inlineStr">
        <is>
          <t>Awarded</t>
        </is>
      </c>
      <c r="H88" s="28" t="n">
        <v>25500000</v>
      </c>
      <c r="I88" s="26" t="inlineStr">
        <is>
          <t>DKK</t>
        </is>
      </c>
      <c r="J88" s="28" t="n">
        <v>3417000</v>
      </c>
      <c r="K88" s="26" t="inlineStr">
        <is>
          <t>Special-purpose mobile container system</t>
        </is>
      </c>
      <c r="L88" s="26" t="inlineStr">
        <is>
          <t>Special Purpose</t>
        </is>
      </c>
      <c r="M88" s="26" t="n"/>
      <c r="N88" s="26" t="inlineStr"/>
      <c r="O88" s="26" t="inlineStr"/>
      <c r="P88" s="26" t="n"/>
      <c r="Q88" s="26" t="inlineStr"/>
      <c r="R88" s="26" t="n"/>
      <c r="S88" s="26" t="inlineStr"/>
      <c r="T88" s="26" t="inlineStr">
        <is>
          <t>Glaucus ApS</t>
        </is>
      </c>
      <c r="U88" s="29" t="inlineStr">
        <is>
          <t>https://ted.europa.eu/en/notice/-/detail/185625-2018</t>
        </is>
      </c>
      <c r="V88" s="26" t="inlineStr">
        <is>
          <t>Procurement of special-purpose mobile containers by Danish Defence Acquisition and Logistics Organization</t>
        </is>
      </c>
      <c r="W88" s="26" t="inlineStr">
        <is>
          <t>TED</t>
        </is>
      </c>
      <c r="X88" s="26" t="inlineStr"/>
    </row>
    <row r="89" ht="45" customHeight="1">
      <c r="B89" s="26" t="inlineStr">
        <is>
          <t>444390-2018</t>
        </is>
      </c>
      <c r="C89" s="26" t="inlineStr">
        <is>
          <t>Special-purpose mobile containers</t>
        </is>
      </c>
      <c r="D89" s="26" t="inlineStr">
        <is>
          <t>Italy</t>
        </is>
      </c>
      <c r="E89" s="26" t="inlineStr">
        <is>
          <t>Ministero della Difesa / SGD-DNA/Direzione degli Armamenti Terrestri</t>
        </is>
      </c>
      <c r="F89" s="27" t="n">
        <v>43384</v>
      </c>
      <c r="G89" s="26" t="inlineStr">
        <is>
          <t>Closed</t>
        </is>
      </c>
      <c r="H89" s="28" t="n">
        <v>1639344.26</v>
      </c>
      <c r="I89" s="26" t="inlineStr">
        <is>
          <t>EUR</t>
        </is>
      </c>
      <c r="J89" s="28" t="n">
        <v>1639344</v>
      </c>
      <c r="K89" s="26" t="inlineStr">
        <is>
          <t>Special-purpose mobile container</t>
        </is>
      </c>
      <c r="L89" s="26" t="inlineStr">
        <is>
          <t>Special Purpose</t>
        </is>
      </c>
      <c r="M89" s="26" t="n"/>
      <c r="N89" s="26" t="inlineStr"/>
      <c r="O89" s="26" t="inlineStr"/>
      <c r="P89" s="26" t="n"/>
      <c r="Q89" s="26" t="inlineStr"/>
      <c r="R89" s="26" t="n"/>
      <c r="S89" s="26" t="inlineStr"/>
      <c r="T89" s="26" t="inlineStr"/>
      <c r="U89" s="29" t="inlineStr">
        <is>
          <t>https://ted.europa.eu/en/notice/-/detail/444390-2018</t>
        </is>
      </c>
      <c r="V89" s="26" t="inlineStr">
        <is>
          <t>Procurement of special-purpose mobile containers by Italian Ministry of Defence</t>
        </is>
      </c>
      <c r="W89" s="26" t="inlineStr">
        <is>
          <t>TED</t>
        </is>
      </c>
      <c r="X89" s="26" t="inlineStr"/>
    </row>
    <row r="90" ht="45" customHeight="1">
      <c r="B90" s="26" t="inlineStr">
        <is>
          <t>287015-2018</t>
        </is>
      </c>
      <c r="C90" s="26" t="inlineStr">
        <is>
          <t>Special-purpose mobile containers</t>
        </is>
      </c>
      <c r="D90" s="26" t="inlineStr">
        <is>
          <t>Norway</t>
        </is>
      </c>
      <c r="E90" s="26" t="inlineStr">
        <is>
          <t>The Norwegian Armed Forces c/o the Norwegian Defence Logistics Organisation</t>
        </is>
      </c>
      <c r="F90" s="27" t="n">
        <v>43284</v>
      </c>
      <c r="G90" s="26" t="inlineStr">
        <is>
          <t>Closed</t>
        </is>
      </c>
      <c r="H90" s="28" t="n">
        <v>200000000</v>
      </c>
      <c r="I90" s="26" t="inlineStr">
        <is>
          <t>NOK
NOK</t>
        </is>
      </c>
      <c r="J90" s="26" t="n"/>
      <c r="K90" s="26" t="inlineStr">
        <is>
          <t>Special-purpose mobile container</t>
        </is>
      </c>
      <c r="L90" s="26" t="inlineStr">
        <is>
          <t>Special Purpose</t>
        </is>
      </c>
      <c r="M90" s="26" t="n"/>
      <c r="N90" s="26" t="inlineStr"/>
      <c r="O90" s="26" t="inlineStr"/>
      <c r="P90" s="26" t="n"/>
      <c r="Q90" s="26" t="inlineStr"/>
      <c r="R90" s="26" t="n"/>
      <c r="S90" s="26" t="inlineStr">
        <is>
          <t>48 months</t>
        </is>
      </c>
      <c r="T90" s="26" t="inlineStr"/>
      <c r="U90" s="29" t="inlineStr">
        <is>
          <t>https://ted.europa.eu/en/notice/-/detail/287015-2018</t>
        </is>
      </c>
      <c r="V90" s="26" t="inlineStr">
        <is>
          <t>Procurement of special-purpose mobile containers by the Norwegian Armed Forces through their Defence Logistics Organisation.</t>
        </is>
      </c>
      <c r="W90" s="26" t="inlineStr">
        <is>
          <t>TED</t>
        </is>
      </c>
      <c r="X90" s="26" t="inlineStr"/>
    </row>
    <row r="91" ht="45" customHeight="1">
      <c r="B91" s="26" t="inlineStr">
        <is>
          <t>40574-2017</t>
        </is>
      </c>
      <c r="C91" s="26" t="inlineStr">
        <is>
          <t>Special-purpose mobile containers</t>
        </is>
      </c>
      <c r="D91" s="26" t="inlineStr">
        <is>
          <t>Italy</t>
        </is>
      </c>
      <c r="E91" s="26" t="inlineStr">
        <is>
          <t>Ministero della Difesa — Segretariato Generale della Difesa e Direzione</t>
        </is>
      </c>
      <c r="F91" s="27" t="n">
        <v>42768</v>
      </c>
      <c r="G91" s="26" t="inlineStr">
        <is>
          <t>Awarded</t>
        </is>
      </c>
      <c r="H91" s="28" t="n">
        <v>696827.0699999999</v>
      </c>
      <c r="I91" s="26" t="inlineStr">
        <is>
          <t>EUR</t>
        </is>
      </c>
      <c r="J91" s="28" t="n">
        <v>696827</v>
      </c>
      <c r="K91" s="26" t="inlineStr">
        <is>
          <t>Special-purpose mobile container system</t>
        </is>
      </c>
      <c r="L91" s="26" t="inlineStr">
        <is>
          <t>Special Purpose</t>
        </is>
      </c>
      <c r="M91" s="26" t="n"/>
      <c r="N91" s="26" t="inlineStr"/>
      <c r="O91" s="26" t="inlineStr"/>
      <c r="P91" s="26" t="n"/>
      <c r="Q91" s="26" t="inlineStr"/>
      <c r="R91" s="26" t="n"/>
      <c r="S91" s="26" t="inlineStr"/>
      <c r="T91" s="26" t="inlineStr">
        <is>
          <t>HEAD Italia Srl</t>
        </is>
      </c>
      <c r="U91" s="29" t="inlineStr">
        <is>
          <t>https://ted.europa.eu/en/notice/-/detail/40574-2017</t>
        </is>
      </c>
      <c r="V91" s="26" t="inlineStr">
        <is>
          <t>Procurement of special-purpose mobile containers by Italian Ministry of Defence</t>
        </is>
      </c>
      <c r="W91" s="26" t="inlineStr">
        <is>
          <t>TED</t>
        </is>
      </c>
      <c r="X91" s="26" t="inlineStr"/>
    </row>
    <row r="92" ht="45" customHeight="1">
      <c r="B92" s="26" t="inlineStr">
        <is>
          <t>66554-2018</t>
        </is>
      </c>
      <c r="C92" s="26" t="inlineStr">
        <is>
          <t>Special-purpose mobile containers</t>
        </is>
      </c>
      <c r="D92" s="26" t="inlineStr">
        <is>
          <t>France</t>
        </is>
      </c>
      <c r="E92" s="26" t="inlineStr">
        <is>
          <t>DGA/DO/S2A</t>
        </is>
      </c>
      <c r="F92" s="27" t="n">
        <v>43144</v>
      </c>
      <c r="G92" s="26" t="inlineStr">
        <is>
          <t>Closed</t>
        </is>
      </c>
      <c r="H92" s="26" t="n"/>
      <c r="I92" s="26" t="inlineStr"/>
      <c r="J92" s="26" t="n"/>
      <c r="K92" s="26" t="inlineStr">
        <is>
          <t>Military trailer (type not specified in notice)</t>
        </is>
      </c>
      <c r="L92" s="26" t="inlineStr">
        <is>
          <t>Special Purpose</t>
        </is>
      </c>
      <c r="M92" s="26" t="n"/>
      <c r="N92" s="26" t="inlineStr"/>
      <c r="O92" s="26" t="inlineStr"/>
      <c r="P92" s="26" t="n"/>
      <c r="Q92" s="26" t="inlineStr"/>
      <c r="R92" s="26" t="n"/>
      <c r="S92" s="26" t="inlineStr">
        <is>
          <t>60 months</t>
        </is>
      </c>
      <c r="T92" s="26" t="inlineStr"/>
      <c r="U92" s="29" t="inlineStr">
        <is>
          <t>https://ted.europa.eu/en/notice/-/detail/66554-2018</t>
        </is>
      </c>
      <c r="V92" s="26" t="inlineStr">
        <is>
          <t>Procurement of special-purpose mobile containers for military use</t>
        </is>
      </c>
      <c r="W92" s="26" t="inlineStr">
        <is>
          <t>TED</t>
        </is>
      </c>
      <c r="X92" s="26" t="inlineStr"/>
    </row>
    <row r="93" ht="45" customHeight="1">
      <c r="B93" s="26" t="inlineStr">
        <is>
          <t>278489-2016</t>
        </is>
      </c>
      <c r="C93" s="26" t="inlineStr">
        <is>
          <t>Single Axle Equipment/Mortar Tactical Trailers</t>
        </is>
      </c>
      <c r="D93" s="26" t="inlineStr">
        <is>
          <t>Ireland</t>
        </is>
      </c>
      <c r="E93" s="26" t="inlineStr">
        <is>
          <t>Defence Forces Ireland</t>
        </is>
      </c>
      <c r="F93" s="27" t="n">
        <v>42593</v>
      </c>
      <c r="G93" s="26" t="inlineStr">
        <is>
          <t>Awarded</t>
        </is>
      </c>
      <c r="H93" s="28" t="n">
        <v>160000</v>
      </c>
      <c r="I93" s="26" t="inlineStr">
        <is>
          <t>EUR</t>
        </is>
      </c>
      <c r="J93" s="28" t="n">
        <v>160000</v>
      </c>
      <c r="K93" s="26" t="inlineStr">
        <is>
          <t>Single axle mortar tactical trailer</t>
        </is>
      </c>
      <c r="L93" s="26" t="inlineStr">
        <is>
          <t>Ammunition Trailer</t>
        </is>
      </c>
      <c r="M93" s="28" t="n">
        <v>30</v>
      </c>
      <c r="N93" s="26" t="inlineStr"/>
      <c r="O93" s="26" t="inlineStr"/>
      <c r="P93" s="26" t="n"/>
      <c r="Q93" s="26" t="inlineStr"/>
      <c r="R93" s="26" t="n"/>
      <c r="S93" s="26" t="inlineStr">
        <is>
          <t>18 months</t>
        </is>
      </c>
      <c r="T93" s="26" t="inlineStr">
        <is>
          <t>Jim Murphy Engineering (Tuam) Ltd</t>
        </is>
      </c>
      <c r="U93" s="29" t="inlineStr">
        <is>
          <t>https://ted.europa.eu/en/notice/-/detail/278489-2016</t>
        </is>
      </c>
      <c r="V93" s="26" t="inlineStr">
        <is>
          <t>Purchase of between 15 and 30 single axle equipment/mortar tactical trailers over an 18 month period for Defence Forces Ireland. Contract value 160,000 EUR awarded to Jim Murphy Engineering (Tuam) Ltd.</t>
        </is>
      </c>
      <c r="W93" s="26" t="inlineStr">
        <is>
          <t>TED</t>
        </is>
      </c>
      <c r="X93" s="26" t="inlineStr"/>
    </row>
    <row r="94" ht="45" customHeight="1">
      <c r="B94" s="26" t="inlineStr">
        <is>
          <t>129023-2016</t>
        </is>
      </c>
      <c r="C94" s="26" t="inlineStr">
        <is>
          <t>Dog Transport Trailers</t>
        </is>
      </c>
      <c r="D94" s="26" t="inlineStr">
        <is>
          <t>Poland</t>
        </is>
      </c>
      <c r="E94" s="26" t="inlineStr">
        <is>
          <t>Wojskowy Ośrodek Farmacji i Techniki Medycznej</t>
        </is>
      </c>
      <c r="F94" s="27" t="n">
        <v>42475</v>
      </c>
      <c r="G94" s="26" t="inlineStr">
        <is>
          <t>Closed</t>
        </is>
      </c>
      <c r="H94" s="26" t="n"/>
      <c r="I94" s="26" t="inlineStr"/>
      <c r="J94" s="26" t="n"/>
      <c r="K94" s="26" t="inlineStr">
        <is>
          <t>Dog transport trailer</t>
        </is>
      </c>
      <c r="L94" s="26" t="inlineStr">
        <is>
          <t>Special Purpose</t>
        </is>
      </c>
      <c r="M94" s="28" t="n">
        <v>2</v>
      </c>
      <c r="N94" s="26" t="inlineStr"/>
      <c r="O94" s="26" t="inlineStr"/>
      <c r="P94" s="26" t="n"/>
      <c r="Q94" s="26" t="inlineStr"/>
      <c r="R94" s="26" t="n"/>
      <c r="S94" s="26" t="inlineStr"/>
      <c r="T94" s="26" t="inlineStr"/>
      <c r="U94" s="29" t="inlineStr">
        <is>
          <t>https://ted.europa.eu/en/notice/-/detail/129023-2016</t>
        </is>
      </c>
      <c r="V94" s="26" t="inlineStr">
        <is>
          <t>Supply of 2 trailers for transporting dogs by Polish Military Center of Pharmacy and Medical Technology in Celestynów.</t>
        </is>
      </c>
      <c r="W94" s="26" t="inlineStr">
        <is>
          <t>TED</t>
        </is>
      </c>
      <c r="X94" s="26" t="inlineStr"/>
    </row>
    <row r="95" ht="45" customHeight="1">
      <c r="B95" s="26" t="inlineStr">
        <is>
          <t>550168-2018</t>
        </is>
      </c>
      <c r="C95" s="26" t="inlineStr">
        <is>
          <t>20t Multi-Purpose Low-Bed Trailers</t>
        </is>
      </c>
      <c r="D95" s="26" t="inlineStr">
        <is>
          <t>Germany</t>
        </is>
      </c>
      <c r="E95" s="26" t="inlineStr">
        <is>
          <t>Bundesamt für Ausrüstung, Informationstechnik und Nutzung der Bundeswehr</t>
        </is>
      </c>
      <c r="F95" s="27" t="n">
        <v>43448</v>
      </c>
      <c r="G95" s="26" t="inlineStr">
        <is>
          <t>Closed</t>
        </is>
      </c>
      <c r="H95" s="26" t="n"/>
      <c r="I95" s="26" t="inlineStr"/>
      <c r="J95" s="26" t="n"/>
      <c r="K95" s="26" t="inlineStr">
        <is>
          <t>20t 3-axle multi-purpose low-bed trailer</t>
        </is>
      </c>
      <c r="L95" s="26" t="inlineStr">
        <is>
          <t>Low-Bed</t>
        </is>
      </c>
      <c r="M95" s="28" t="n">
        <v>400</v>
      </c>
      <c r="N95" s="26" t="inlineStr"/>
      <c r="O95" s="26" t="inlineStr"/>
      <c r="P95" s="26" t="n"/>
      <c r="Q95" s="26" t="inlineStr"/>
      <c r="R95" s="26" t="n"/>
      <c r="S95" s="26" t="inlineStr"/>
      <c r="T95" s="26" t="inlineStr"/>
      <c r="U95" s="29" t="inlineStr">
        <is>
          <t>https://ted.europa.eu/en/notice/-/detail/550168-2018</t>
        </is>
      </c>
      <c r="V95" s="26" t="inlineStr">
        <is>
          <t>Framework agreement for manufacturing and delivery of 400 multi-purpose low-bed trailers with 20t payload capacity. Three-axle chassis with turntable steering, minimum 6.5m loading platform, enhanced off-road capability, military lighting with blackout capability, worldwide deployment capability (-32°C to +44°C), and military load securing equipment.</t>
        </is>
      </c>
      <c r="W95" s="26" t="inlineStr">
        <is>
          <t>TED</t>
        </is>
      </c>
      <c r="X95" s="26" t="inlineStr"/>
    </row>
    <row r="96" ht="45" customHeight="1">
      <c r="B96" s="26" t="inlineStr">
        <is>
          <t>442117-2023</t>
        </is>
      </c>
      <c r="C96" s="26" t="inlineStr">
        <is>
          <t>Military Transport Trailers - Large, Medium and Small Capacity</t>
        </is>
      </c>
      <c r="D96" s="26" t="inlineStr">
        <is>
          <t>Poland</t>
        </is>
      </c>
      <c r="E96" s="26" t="inlineStr">
        <is>
          <t>12 Wojskowy Oddział Gospodarczy</t>
        </is>
      </c>
      <c r="F96" s="27" t="n">
        <v>45128</v>
      </c>
      <c r="G96" s="26" t="inlineStr">
        <is>
          <t>Closed</t>
        </is>
      </c>
      <c r="H96" s="28" t="n">
        <v>4471544.72</v>
      </c>
      <c r="I96" s="26" t="inlineStr">
        <is>
          <t>PLN</t>
        </is>
      </c>
      <c r="J96" s="28" t="n">
        <v>1041870</v>
      </c>
      <c r="K96" s="26" t="inlineStr">
        <is>
          <t>Large capacity transport trailer</t>
        </is>
      </c>
      <c r="L96" s="26" t="inlineStr">
        <is>
          <t>Cargo Trailer</t>
        </is>
      </c>
      <c r="M96" s="28" t="n">
        <v>21</v>
      </c>
      <c r="N96" s="26" t="inlineStr">
        <is>
          <t>Medium capacity transport trailer</t>
        </is>
      </c>
      <c r="O96" s="26" t="inlineStr">
        <is>
          <t>Cargo Trailer</t>
        </is>
      </c>
      <c r="P96" s="28" t="n">
        <v>29</v>
      </c>
      <c r="Q96" s="26" t="inlineStr">
        <is>
          <t>6x small capacity transport trailers</t>
        </is>
      </c>
      <c r="R96" s="26" t="n"/>
      <c r="S96" s="26" t="inlineStr"/>
      <c r="T96" s="26" t="inlineStr"/>
      <c r="U96" s="29" t="inlineStr">
        <is>
          <t>https://ted.europa.eu/en/notice/-/detail/442117-2023</t>
        </is>
      </c>
      <c r="V96" s="26" t="inlineStr">
        <is>
          <t>Procurement of transport trailers in three categories: 21 large capacity trailers, 29 medium capacity trailers, and 6 small capacity trailers. Contract includes registration, delivery, user training, and documentation. Optional additional procurement of up to 17 more large capacity trailers.</t>
        </is>
      </c>
      <c r="W96" s="26" t="inlineStr">
        <is>
          <t>TED</t>
        </is>
      </c>
      <c r="X96" s="26" t="inlineStr"/>
    </row>
    <row r="97" ht="45" customHeight="1">
      <c r="B97" s="26" t="inlineStr">
        <is>
          <t>287476-2018</t>
        </is>
      </c>
      <c r="C97" s="26" t="inlineStr">
        <is>
          <t>Military Transport Trailers - Small and Medium Load Capacity</t>
        </is>
      </c>
      <c r="D97" s="26" t="inlineStr">
        <is>
          <t>Poland</t>
        </is>
      </c>
      <c r="E97" s="26" t="inlineStr">
        <is>
          <t>12 Wojskowy Oddział Gospodarczy</t>
        </is>
      </c>
      <c r="F97" s="27" t="n">
        <v>43285</v>
      </c>
      <c r="G97" s="26" t="inlineStr">
        <is>
          <t>Awarded</t>
        </is>
      </c>
      <c r="H97" s="28" t="n">
        <v>7967479.67</v>
      </c>
      <c r="I97" s="26" t="inlineStr">
        <is>
          <t>PLN</t>
        </is>
      </c>
      <c r="J97" s="28" t="n">
        <v>1856423</v>
      </c>
      <c r="K97" s="26" t="inlineStr">
        <is>
          <t>Small load capacity transport trailer</t>
        </is>
      </c>
      <c r="L97" s="26" t="inlineStr">
        <is>
          <t>Cargo Trailer</t>
        </is>
      </c>
      <c r="M97" s="28" t="n">
        <v>5</v>
      </c>
      <c r="N97" s="26" t="inlineStr">
        <is>
          <t>Medium load capacity transport trailer</t>
        </is>
      </c>
      <c r="O97" s="26" t="inlineStr">
        <is>
          <t>Cargo Trailer</t>
        </is>
      </c>
      <c r="P97" s="28" t="n">
        <v>10</v>
      </c>
      <c r="Q97" s="26" t="inlineStr"/>
      <c r="R97" s="26" t="n"/>
      <c r="S97" s="26" t="inlineStr"/>
      <c r="T97" s="26" t="inlineStr">
        <is>
          <t>Zasław TSS Sp. z o.o Sp. k.</t>
        </is>
      </c>
      <c r="U97" s="29" t="inlineStr">
        <is>
          <t>https://ted.europa.eu/en/notice/-/detail/287476-2018</t>
        </is>
      </c>
      <c r="V97" s="26" t="inlineStr">
        <is>
          <t>Procurement of transport trailers in two categories: 5 units of small load capacity trailers (Lot 1) and 10 units of medium load capacity trailers (Lot 2). Contract includes options for additional quantities up to 40 units for small capacity and 90 units for medium capacity trailers.</t>
        </is>
      </c>
      <c r="W97" s="26" t="inlineStr">
        <is>
          <t>TED</t>
        </is>
      </c>
      <c r="X97" s="26" t="inlineStr"/>
    </row>
    <row r="98" ht="45" customHeight="1">
      <c r="B98" s="26" t="inlineStr">
        <is>
          <t>147766-2020</t>
        </is>
      </c>
      <c r="C98" s="26" t="inlineStr">
        <is>
          <t>298 Low-bed Trailers 20t Multi-purpose</t>
        </is>
      </c>
      <c r="D98" s="26" t="inlineStr">
        <is>
          <t>Germany</t>
        </is>
      </c>
      <c r="E98" s="26" t="inlineStr">
        <is>
          <t>Bundesamt für Ausrüstung, Informationstechnik und Nutzung der Bundeswehr</t>
        </is>
      </c>
      <c r="F98" s="27" t="n">
        <v>43917</v>
      </c>
      <c r="G98" s="26" t="inlineStr">
        <is>
          <t>Awarded</t>
        </is>
      </c>
      <c r="H98" s="26" t="n"/>
      <c r="I98" s="26" t="inlineStr">
        <is>
          <t>EUR</t>
        </is>
      </c>
      <c r="J98" s="26" t="n"/>
      <c r="K98" s="26" t="inlineStr">
        <is>
          <t>20t low-bed trailer multi-purpose</t>
        </is>
      </c>
      <c r="L98" s="26" t="inlineStr">
        <is>
          <t>Low-Bed</t>
        </is>
      </c>
      <c r="M98" s="28" t="n">
        <v>298</v>
      </c>
      <c r="N98" s="26" t="inlineStr"/>
      <c r="O98" s="26" t="inlineStr"/>
      <c r="P98" s="26" t="n"/>
      <c r="Q98" s="26" t="inlineStr"/>
      <c r="R98" s="26" t="n"/>
      <c r="S98" s="26" t="inlineStr"/>
      <c r="T98" s="26" t="inlineStr">
        <is>
          <t>Fa. Fliegl Fahrzeugbau</t>
        </is>
      </c>
      <c r="U98" s="29" t="inlineStr">
        <is>
          <t>https://ted.europa.eu/en/notice/-/detail/147766-2020</t>
        </is>
      </c>
      <c r="V98" s="26" t="inlineStr">
        <is>
          <t>Contract for manufacturing and delivery of 298 low-bed trailers 20t multi-purpose. Three-axle chassis with turntable steering, minimum 20t payload, loading surface minimum 6.5m, enhanced off-road capability, military lighting, worldwide deployment capability (-32°C to +44°C), military tie-down equipment and storage boxes.</t>
        </is>
      </c>
      <c r="W98" s="26" t="inlineStr">
        <is>
          <t>TED</t>
        </is>
      </c>
      <c r="X98" s="26" t="inlineStr"/>
    </row>
    <row r="99" ht="45" customHeight="1">
      <c r="B99" s="26" t="inlineStr">
        <is>
          <t>335687-2017</t>
        </is>
      </c>
      <c r="C99" s="26" t="inlineStr">
        <is>
          <t>Medium Load Capacity Transport Trailers</t>
        </is>
      </c>
      <c r="D99" s="26" t="inlineStr">
        <is>
          <t>Poland</t>
        </is>
      </c>
      <c r="E99" s="26" t="inlineStr">
        <is>
          <t>12 Wojskowy Oddział Gospodarczy</t>
        </is>
      </c>
      <c r="F99" s="27" t="n">
        <v>42973</v>
      </c>
      <c r="G99" s="26" t="inlineStr">
        <is>
          <t>Closed</t>
        </is>
      </c>
      <c r="H99" s="26" t="n"/>
      <c r="I99" s="26" t="inlineStr"/>
      <c r="J99" s="26" t="n"/>
      <c r="K99" s="26" t="inlineStr">
        <is>
          <t>Medium load capacity transport trailer</t>
        </is>
      </c>
      <c r="L99" s="26" t="inlineStr">
        <is>
          <t>Cargo Trailer</t>
        </is>
      </c>
      <c r="M99" s="28" t="n">
        <v>20</v>
      </c>
      <c r="N99" s="26" t="inlineStr"/>
      <c r="O99" s="26" t="inlineStr"/>
      <c r="P99" s="26" t="n"/>
      <c r="Q99" s="26" t="inlineStr"/>
      <c r="R99" s="26" t="n"/>
      <c r="S99" s="26" t="inlineStr"/>
      <c r="T99" s="26" t="inlineStr"/>
      <c r="U99" s="29" t="inlineStr">
        <is>
          <t>https://ted.europa.eu/en/notice/-/detail/335687-2017</t>
        </is>
      </c>
      <c r="V99" s="26" t="inlineStr">
        <is>
          <t>Supply of 20 medium load capacity transport trailers for Polish military logistics unit. Open tender procedure with delivery deadline December 2017. Contractor must hold appropriate concession for military equipment supply.</t>
        </is>
      </c>
      <c r="W99" s="26" t="inlineStr">
        <is>
          <t>TED</t>
        </is>
      </c>
      <c r="X99" s="26" t="inlineStr"/>
    </row>
    <row r="100" ht="45" customHeight="1">
      <c r="B100" s="26" t="inlineStr">
        <is>
          <t>453347-2020</t>
        </is>
      </c>
      <c r="C100" s="26" t="inlineStr">
        <is>
          <t>Netherlands Ministry of Defence - General-purpose trailers</t>
        </is>
      </c>
      <c r="D100" s="26" t="inlineStr">
        <is>
          <t>Netherlands</t>
        </is>
      </c>
      <c r="E100" s="26" t="inlineStr">
        <is>
          <t>Ministry of Defence</t>
        </is>
      </c>
      <c r="F100" s="27" t="n">
        <v>44102</v>
      </c>
      <c r="G100" s="26" t="inlineStr">
        <is>
          <t>Closed</t>
        </is>
      </c>
      <c r="H100" s="26" t="n"/>
      <c r="I100" s="26" t="inlineStr"/>
      <c r="J100" s="26" t="n"/>
      <c r="K100" s="26" t="inlineStr">
        <is>
          <t>Military trailer (type not specified in notice)</t>
        </is>
      </c>
      <c r="L100" s="26" t="inlineStr">
        <is>
          <t>Cargo Trailer</t>
        </is>
      </c>
      <c r="M100" s="28" t="n">
        <v>14</v>
      </c>
      <c r="N100" s="26" t="inlineStr"/>
      <c r="O100" s="26" t="inlineStr"/>
      <c r="P100" s="26" t="n"/>
      <c r="Q100" s="26" t="inlineStr"/>
      <c r="R100" s="26" t="n"/>
      <c r="S100" s="26" t="inlineStr">
        <is>
          <t>19 months</t>
        </is>
      </c>
      <c r="T100" s="26" t="inlineStr"/>
      <c r="U100" s="29" t="inlineStr">
        <is>
          <t>https://ted.europa.eu/en/notice/-/detail/453347-2020</t>
        </is>
      </c>
      <c r="V100" s="26" t="inlineStr">
        <is>
          <t>Procurement of general-purpose trailers by the Netherlands Ministry of Defence</t>
        </is>
      </c>
      <c r="W100" s="26" t="inlineStr">
        <is>
          <t>TED</t>
        </is>
      </c>
      <c r="X100" s="26" t="inlineStr"/>
    </row>
    <row r="101" ht="45" customHeight="1">
      <c r="B101" s="26" t="inlineStr">
        <is>
          <t>49638-2019</t>
        </is>
      </c>
      <c r="C101" s="26" t="inlineStr">
        <is>
          <t>298 Multi-Purpose Low-Bed Trailers 20t</t>
        </is>
      </c>
      <c r="D101" s="26" t="inlineStr">
        <is>
          <t>Germany</t>
        </is>
      </c>
      <c r="E101" s="26" t="inlineStr">
        <is>
          <t>Bundesamt für Ausrüstung, Informationstechnik und Nutzung der Bundeswehr</t>
        </is>
      </c>
      <c r="F101" s="27" t="n">
        <v>43497</v>
      </c>
      <c r="G101" s="26" t="inlineStr">
        <is>
          <t>Closed</t>
        </is>
      </c>
      <c r="H101" s="26" t="n"/>
      <c r="I101" s="26" t="inlineStr"/>
      <c r="J101" s="26" t="n"/>
      <c r="K101" s="26" t="inlineStr">
        <is>
          <t>20t 3-axle multi-purpose low-bed trailer</t>
        </is>
      </c>
      <c r="L101" s="26" t="inlineStr">
        <is>
          <t>Low-Bed</t>
        </is>
      </c>
      <c r="M101" s="28" t="n">
        <v>298</v>
      </c>
      <c r="N101" s="26" t="inlineStr"/>
      <c r="O101" s="26" t="inlineStr"/>
      <c r="P101" s="26" t="n"/>
      <c r="Q101" s="26" t="inlineStr"/>
      <c r="R101" s="26" t="n"/>
      <c r="S101" s="26" t="inlineStr">
        <is>
          <t>48 months</t>
        </is>
      </c>
      <c r="T101" s="26" t="inlineStr"/>
      <c r="U101" s="29" t="inlineStr">
        <is>
          <t>https://ted.europa.eu/en/notice/-/detail/49638-2019</t>
        </is>
      </c>
      <c r="V101" s="26" t="inlineStr">
        <is>
          <t>Procurement of 298 multi-purpose low-bed trailers with 20t payload capacity. Three-axle chassis with turntable steering, 3x10t axles, minimum 6.5m loading platform, planked wheel wells, enhanced off-road capability, military lighting with blackout capability, worldwide deployment capability (-32°C to +44°C), and military tie-down equipment.</t>
        </is>
      </c>
      <c r="W101" s="26" t="inlineStr">
        <is>
          <t>TED</t>
        </is>
      </c>
      <c r="X101" s="26" t="inlineStr"/>
    </row>
    <row r="102" ht="45" customHeight="1">
      <c r="B102" s="26" t="inlineStr">
        <is>
          <t>204192-2016</t>
        </is>
      </c>
      <c r="C102" s="26" t="inlineStr">
        <is>
          <t>Military Transport Trailers - Various Load Capacities</t>
        </is>
      </c>
      <c r="D102" s="26" t="inlineStr">
        <is>
          <t>Poland</t>
        </is>
      </c>
      <c r="E102" s="26" t="inlineStr">
        <is>
          <t>12 Wojskowy Oddział Gospodarczy</t>
        </is>
      </c>
      <c r="F102" s="27" t="n">
        <v>42537</v>
      </c>
      <c r="G102" s="26" t="inlineStr">
        <is>
          <t>Closed</t>
        </is>
      </c>
      <c r="H102" s="28" t="n">
        <v>19792682.92</v>
      </c>
      <c r="I102" s="26" t="inlineStr">
        <is>
          <t>PLN</t>
        </is>
      </c>
      <c r="J102" s="28" t="n">
        <v>4611695</v>
      </c>
      <c r="K102" s="26" t="inlineStr">
        <is>
          <t>Small capacity transport trailer</t>
        </is>
      </c>
      <c r="L102" s="26" t="inlineStr">
        <is>
          <t>Cargo Trailer</t>
        </is>
      </c>
      <c r="M102" s="28" t="n">
        <v>34</v>
      </c>
      <c r="N102" s="26" t="inlineStr">
        <is>
          <t>Medium capacity transport trailer</t>
        </is>
      </c>
      <c r="O102" s="26" t="inlineStr">
        <is>
          <t>Cargo Trailer</t>
        </is>
      </c>
      <c r="P102" s="28" t="n">
        <v>185</v>
      </c>
      <c r="Q102" s="26" t="inlineStr">
        <is>
          <t>44x large capacity transport trailers</t>
        </is>
      </c>
      <c r="R102" s="28" t="n">
        <v>44</v>
      </c>
      <c r="S102" s="26" t="inlineStr"/>
      <c r="T102" s="26" t="inlineStr"/>
      <c r="U102" s="29" t="inlineStr">
        <is>
          <t>https://ted.europa.eu/en/notice/-/detail/204192-2016</t>
        </is>
      </c>
      <c r="V102" s="26" t="inlineStr">
        <is>
          <t>Procurement of 263 transport trailers in 4 lots: 24x small capacity trailers, 10x small capacity trailers for quad vehicle transport, 185x medium capacity trailers, 44x large capacity trailers. Contract includes options for additional quantities.</t>
        </is>
      </c>
      <c r="W102" s="26" t="inlineStr">
        <is>
          <t>TED</t>
        </is>
      </c>
      <c r="X102" s="26" t="inlineStr"/>
    </row>
    <row r="103" ht="45" customHeight="1">
      <c r="B103" s="26" t="inlineStr">
        <is>
          <t>517828-2017</t>
        </is>
      </c>
      <c r="C103" s="26" t="inlineStr">
        <is>
          <t>Germany: 2-Wheel 3.5t Trailers Framework Contract</t>
        </is>
      </c>
      <c r="D103" s="26" t="inlineStr">
        <is>
          <t>Germany</t>
        </is>
      </c>
      <c r="E103" s="26" t="inlineStr">
        <is>
          <t>Bundesamt für Ausrüstung, Informationstechnik und Nutzung der Bundeswehr</t>
        </is>
      </c>
      <c r="F103" s="27" t="n">
        <v>43092</v>
      </c>
      <c r="G103" s="26" t="inlineStr">
        <is>
          <t>Closed</t>
        </is>
      </c>
      <c r="H103" s="26" t="n"/>
      <c r="I103" s="26" t="inlineStr"/>
      <c r="J103" s="26" t="n"/>
      <c r="K103" s="26" t="inlineStr">
        <is>
          <t>3.5t 2-axle cargo trailer</t>
        </is>
      </c>
      <c r="L103" s="26" t="inlineStr">
        <is>
          <t>Cargo Trailer</t>
        </is>
      </c>
      <c r="M103" s="28" t="n">
        <v>543</v>
      </c>
      <c r="N103" s="26" t="inlineStr"/>
      <c r="O103" s="26" t="inlineStr"/>
      <c r="P103" s="26" t="n"/>
      <c r="Q103" s="26" t="inlineStr"/>
      <c r="R103" s="26" t="n"/>
      <c r="S103" s="26" t="inlineStr">
        <is>
          <t>49 months</t>
        </is>
      </c>
      <c r="T103" s="26" t="inlineStr"/>
      <c r="U103" s="29" t="inlineStr">
        <is>
          <t>https://ted.europa.eu/en/notice/-/detail/517828-2017</t>
        </is>
      </c>
      <c r="V103" s="26" t="inlineStr">
        <is>
          <t>Framework contract for procurement of 543 two-axle trailers with 3.5 ton capacity for the German Armed Forces. Contract duration until end of 2021 with single operator framework agreement.</t>
        </is>
      </c>
      <c r="W103" s="26" t="inlineStr">
        <is>
          <t>TED</t>
        </is>
      </c>
      <c r="X103" s="26" t="inlineStr"/>
    </row>
    <row r="104" ht="45" customHeight="1">
      <c r="B104" s="26" t="inlineStr">
        <is>
          <t>186475-2017</t>
        </is>
      </c>
      <c r="C104" s="26" t="inlineStr">
        <is>
          <t>Dog Transport Trailers</t>
        </is>
      </c>
      <c r="D104" s="26" t="inlineStr">
        <is>
          <t>Poland</t>
        </is>
      </c>
      <c r="E104" s="26" t="inlineStr">
        <is>
          <t>Wojskowy Ośrodek Farmacji i Techniki Medycznej</t>
        </is>
      </c>
      <c r="F104" s="27" t="n">
        <v>42873</v>
      </c>
      <c r="G104" s="26" t="inlineStr">
        <is>
          <t>Awarded</t>
        </is>
      </c>
      <c r="H104" s="28" t="n">
        <v>39360</v>
      </c>
      <c r="I104" s="26" t="inlineStr">
        <is>
          <t>PLN</t>
        </is>
      </c>
      <c r="J104" s="28" t="n">
        <v>9171</v>
      </c>
      <c r="K104" s="26" t="inlineStr">
        <is>
          <t>Dog transport trailer</t>
        </is>
      </c>
      <c r="L104" s="26" t="inlineStr">
        <is>
          <t>Special Purpose</t>
        </is>
      </c>
      <c r="M104" s="28" t="n">
        <v>2</v>
      </c>
      <c r="N104" s="26" t="inlineStr"/>
      <c r="O104" s="26" t="inlineStr"/>
      <c r="P104" s="26" t="n"/>
      <c r="Q104" s="26" t="inlineStr"/>
      <c r="R104" s="26" t="n"/>
      <c r="S104" s="26" t="inlineStr"/>
      <c r="T104" s="26" t="inlineStr">
        <is>
          <t>ADNO Sp. z o.o.</t>
        </is>
      </c>
      <c r="U104" s="29" t="inlineStr">
        <is>
          <t>https://ted.europa.eu/en/notice/-/detail/186475-2017</t>
        </is>
      </c>
      <c r="V104" s="26" t="inlineStr">
        <is>
          <t>Supply of 2 trailers for transporting dogs to Military Center of Pharmacy and Medical Technology in Celestynów, Poland. Contract awarded to ADNO Sp. z o.o. for 32,000 PLN.</t>
        </is>
      </c>
      <c r="W104" s="26" t="inlineStr">
        <is>
          <t>TED</t>
        </is>
      </c>
      <c r="X104" s="26" t="inlineStr"/>
    </row>
    <row r="105" ht="45" customHeight="1">
      <c r="B105" s="26" t="inlineStr">
        <is>
          <t>504725-2018</t>
        </is>
      </c>
      <c r="C105" s="26" t="inlineStr">
        <is>
          <t>Special-purpose mobile containers</t>
        </is>
      </c>
      <c r="D105" s="26" t="inlineStr">
        <is>
          <t>Finland</t>
        </is>
      </c>
      <c r="E105" s="26" t="inlineStr">
        <is>
          <t>Puolustusvoimat</t>
        </is>
      </c>
      <c r="F105" s="27" t="n">
        <v>43419</v>
      </c>
      <c r="G105" s="26" t="inlineStr">
        <is>
          <t>Closed</t>
        </is>
      </c>
      <c r="H105" s="28" t="n">
        <v>3990000</v>
      </c>
      <c r="I105" s="26" t="inlineStr">
        <is>
          <t>EUR</t>
        </is>
      </c>
      <c r="J105" s="28" t="n">
        <v>3990000</v>
      </c>
      <c r="K105" s="26" t="inlineStr">
        <is>
          <t>Special-purpose mobile container</t>
        </is>
      </c>
      <c r="L105" s="26" t="inlineStr">
        <is>
          <t>Special Purpose</t>
        </is>
      </c>
      <c r="M105" s="26" t="n"/>
      <c r="N105" s="26" t="inlineStr"/>
      <c r="O105" s="26" t="inlineStr"/>
      <c r="P105" s="26" t="n"/>
      <c r="Q105" s="26" t="inlineStr"/>
      <c r="R105" s="26" t="n"/>
      <c r="S105" s="26" t="inlineStr">
        <is>
          <t>12 months</t>
        </is>
      </c>
      <c r="T105" s="26" t="inlineStr"/>
      <c r="U105" s="29" t="inlineStr">
        <is>
          <t>https://ted.europa.eu/en/notice/-/detail/504725-2018</t>
        </is>
      </c>
      <c r="V105" s="26" t="inlineStr">
        <is>
          <t>Procurement of special-purpose mobile containers by Finnish Defence Forces</t>
        </is>
      </c>
      <c r="W105" s="26" t="inlineStr">
        <is>
          <t>TED</t>
        </is>
      </c>
      <c r="X105" s="26" t="inlineStr"/>
    </row>
    <row r="106" ht="45" customHeight="1">
      <c r="B106" s="26" t="inlineStr">
        <is>
          <t>462506-2021</t>
        </is>
      </c>
      <c r="C106" s="26" t="inlineStr">
        <is>
          <t>Special-purpose mobile containers</t>
        </is>
      </c>
      <c r="D106" s="26" t="inlineStr">
        <is>
          <t>Finland</t>
        </is>
      </c>
      <c r="E106" s="26" t="inlineStr">
        <is>
          <t>Puolustusvoimien logistiikkalaitos</t>
        </is>
      </c>
      <c r="F106" s="27" t="n">
        <v>44452</v>
      </c>
      <c r="G106" s="26" t="inlineStr">
        <is>
          <t>Closed</t>
        </is>
      </c>
      <c r="H106" s="26" t="n"/>
      <c r="I106" s="26" t="inlineStr"/>
      <c r="J106" s="26" t="n"/>
      <c r="K106" s="26" t="inlineStr">
        <is>
          <t>Military mobile container system (type not specified in notice)</t>
        </is>
      </c>
      <c r="L106" s="26" t="inlineStr">
        <is>
          <t>Special Purpose</t>
        </is>
      </c>
      <c r="M106" s="26" t="n"/>
      <c r="N106" s="26" t="inlineStr"/>
      <c r="O106" s="26" t="inlineStr"/>
      <c r="P106" s="26" t="n"/>
      <c r="Q106" s="26" t="inlineStr"/>
      <c r="R106" s="26" t="n"/>
      <c r="S106" s="26" t="inlineStr"/>
      <c r="T106" s="26" t="inlineStr"/>
      <c r="U106" s="29" t="inlineStr">
        <is>
          <t>https://ted.europa.eu/en/notice/-/detail/462506-2021</t>
        </is>
      </c>
      <c r="V106" s="26" t="inlineStr">
        <is>
          <t>Procurement of special-purpose mobile containers by Finnish Defence Forces Logistics Unit</t>
        </is>
      </c>
      <c r="W106" s="26" t="inlineStr">
        <is>
          <t>TED</t>
        </is>
      </c>
      <c r="X106" s="26" t="inlineStr"/>
    </row>
    <row r="107" ht="45" customHeight="1">
      <c r="B107" s="26" t="inlineStr">
        <is>
          <t>103251-2026</t>
        </is>
      </c>
      <c r="C107" s="26" t="inlineStr">
        <is>
          <t>Romania - Field kitchens - Kitchen assembly procurement (containers and tent)</t>
        </is>
      </c>
      <c r="D107" s="26" t="inlineStr">
        <is>
          <t>Romania</t>
        </is>
      </c>
      <c r="E107" s="26" t="inlineStr">
        <is>
          <t>Ministerul Apararii Nationale - Unitatea Militara 01020</t>
        </is>
      </c>
      <c r="F107" s="27" t="n">
        <v>46065</v>
      </c>
      <c r="G107" s="26" t="inlineStr">
        <is>
          <t>Awarded</t>
        </is>
      </c>
      <c r="H107" s="28" t="n">
        <v>17960000</v>
      </c>
      <c r="I107" s="26" t="inlineStr">
        <is>
          <t>RON</t>
        </is>
      </c>
      <c r="J107" s="28" t="n">
        <v>3609960</v>
      </c>
      <c r="K107" s="26" t="inlineStr">
        <is>
          <t>Field kitchen assembly (container and tent system)</t>
        </is>
      </c>
      <c r="L107" s="26" t="inlineStr">
        <is>
          <t>Field Kitchen</t>
        </is>
      </c>
      <c r="M107" s="28" t="n">
        <v>6</v>
      </c>
      <c r="N107" s="26" t="inlineStr"/>
      <c r="O107" s="26" t="inlineStr"/>
      <c r="P107" s="26" t="n"/>
      <c r="Q107" s="26" t="inlineStr"/>
      <c r="R107" s="26" t="n"/>
      <c r="S107" s="26" t="inlineStr">
        <is>
          <t>24 months</t>
        </is>
      </c>
      <c r="T107" s="26" t="inlineStr">
        <is>
          <t>STIMPEX</t>
        </is>
      </c>
      <c r="U107" s="29" t="inlineStr">
        <is>
          <t>https://ted.europa.eu/en/notice/-/detail/103251-2026</t>
        </is>
      </c>
      <c r="V107" s="26" t="inlineStr">
        <is>
          <t>Supply of 6 complete Kitchen Assemblies according to specifications, with minimum quantity 1 unit/maximum 6 units. Technical specifications detailed in annexes. Value range 4.2M to 25.2M RON for main contract, 8.4M to 16.8M RON for secondary contract.</t>
        </is>
      </c>
      <c r="W107" s="26" t="inlineStr">
        <is>
          <t>TED</t>
        </is>
      </c>
      <c r="X107" s="26" t="inlineStr"/>
    </row>
    <row r="108" ht="45" customHeight="1">
      <c r="B108" s="26" t="inlineStr">
        <is>
          <t>472604-2022</t>
        </is>
      </c>
      <c r="C108" s="26" t="inlineStr">
        <is>
          <t>Special-purpose mobile containers</t>
        </is>
      </c>
      <c r="D108" s="26" t="inlineStr">
        <is>
          <t>Finland</t>
        </is>
      </c>
      <c r="E108" s="26" t="inlineStr">
        <is>
          <t>Puolustusvoimien logistiikkalaitos</t>
        </is>
      </c>
      <c r="F108" s="27" t="n">
        <v>44803</v>
      </c>
      <c r="G108" s="26" t="inlineStr">
        <is>
          <t>Awarded</t>
        </is>
      </c>
      <c r="H108" s="28" t="n">
        <v>8036200</v>
      </c>
      <c r="I108" s="26" t="inlineStr">
        <is>
          <t>EUR</t>
        </is>
      </c>
      <c r="J108" s="28" t="n">
        <v>8036200</v>
      </c>
      <c r="K108" s="26" t="inlineStr">
        <is>
          <t>Special-purpose mobile container</t>
        </is>
      </c>
      <c r="L108" s="26" t="inlineStr">
        <is>
          <t>Special Purpose</t>
        </is>
      </c>
      <c r="M108" s="26" t="n"/>
      <c r="N108" s="26" t="inlineStr"/>
      <c r="O108" s="26" t="inlineStr"/>
      <c r="P108" s="26" t="n"/>
      <c r="Q108" s="26" t="inlineStr"/>
      <c r="R108" s="26" t="n"/>
      <c r="S108" s="26" t="inlineStr"/>
      <c r="T108" s="26" t="inlineStr">
        <is>
          <t>Nokian Metallirakenne Oy</t>
        </is>
      </c>
      <c r="U108" s="29" t="inlineStr">
        <is>
          <t>https://ted.europa.eu/en/notice/-/detail/472604-2022</t>
        </is>
      </c>
      <c r="V108" s="26" t="inlineStr">
        <is>
          <t>Procurement of special-purpose mobile containers by Finnish Defence Forces logistics unit</t>
        </is>
      </c>
      <c r="W108" s="26" t="inlineStr">
        <is>
          <t>TED</t>
        </is>
      </c>
      <c r="X108" s="26" t="inlineStr"/>
    </row>
    <row r="109" ht="45" customHeight="1">
      <c r="B109" s="26" t="inlineStr">
        <is>
          <t>44748-2019</t>
        </is>
      </c>
      <c r="C109" s="26" t="inlineStr">
        <is>
          <t>Special-purpose mobile containers</t>
        </is>
      </c>
      <c r="D109" s="26" t="inlineStr">
        <is>
          <t>Czech Republic</t>
        </is>
      </c>
      <c r="E109" s="26" t="inlineStr">
        <is>
          <t>Česká republika - Ministerstvo obrany</t>
        </is>
      </c>
      <c r="F109" s="27" t="n">
        <v>43494</v>
      </c>
      <c r="G109" s="26" t="inlineStr">
        <is>
          <t>Awarded</t>
        </is>
      </c>
      <c r="H109" s="28" t="n">
        <v>89818302.42</v>
      </c>
      <c r="I109" s="26" t="inlineStr">
        <is>
          <t>CZK</t>
        </is>
      </c>
      <c r="J109" s="28" t="n">
        <v>3592732</v>
      </c>
      <c r="K109" s="26" t="inlineStr">
        <is>
          <t>Special-purpose mobile container</t>
        </is>
      </c>
      <c r="L109" s="26" t="inlineStr">
        <is>
          <t>Special Purpose</t>
        </is>
      </c>
      <c r="M109" s="26" t="n"/>
      <c r="N109" s="26" t="inlineStr"/>
      <c r="O109" s="26" t="inlineStr"/>
      <c r="P109" s="26" t="n"/>
      <c r="Q109" s="26" t="inlineStr"/>
      <c r="R109" s="26" t="n"/>
      <c r="S109" s="26" t="inlineStr"/>
      <c r="T109" s="26" t="inlineStr">
        <is>
          <t>Variel, a.s.</t>
        </is>
      </c>
      <c r="U109" s="29" t="inlineStr">
        <is>
          <t>https://ted.europa.eu/en/notice/-/detail/44748-2019</t>
        </is>
      </c>
      <c r="V109" s="26" t="inlineStr">
        <is>
          <t>Procurement of special-purpose mobile containers by Czech Ministry of Defence</t>
        </is>
      </c>
      <c r="W109" s="26" t="inlineStr">
        <is>
          <t>TED</t>
        </is>
      </c>
      <c r="X109" s="26" t="inlineStr"/>
    </row>
    <row r="110" ht="45" customHeight="1">
      <c r="B110" s="26" t="inlineStr">
        <is>
          <t>381122-2019</t>
        </is>
      </c>
      <c r="C110" s="26" t="inlineStr">
        <is>
          <t>Special-purpose mobile containers</t>
        </is>
      </c>
      <c r="D110" s="26" t="inlineStr">
        <is>
          <t>Czech Republic</t>
        </is>
      </c>
      <c r="E110" s="26" t="inlineStr">
        <is>
          <t>Česká republika - Ministerstvo obrany</t>
        </is>
      </c>
      <c r="F110" s="27" t="n">
        <v>43689</v>
      </c>
      <c r="G110" s="26" t="inlineStr">
        <is>
          <t>Closed</t>
        </is>
      </c>
      <c r="H110" s="26" t="n"/>
      <c r="I110" s="26" t="inlineStr"/>
      <c r="J110" s="26" t="n"/>
      <c r="K110" s="26" t="inlineStr">
        <is>
          <t>Special-purpose mobile container (type not specified in notice)</t>
        </is>
      </c>
      <c r="L110" s="26" t="inlineStr">
        <is>
          <t>Special Purpose</t>
        </is>
      </c>
      <c r="M110" s="26" t="n"/>
      <c r="N110" s="26" t="inlineStr"/>
      <c r="O110" s="26" t="inlineStr"/>
      <c r="P110" s="26" t="n"/>
      <c r="Q110" s="26" t="inlineStr"/>
      <c r="R110" s="26" t="n"/>
      <c r="S110" s="26" t="inlineStr"/>
      <c r="T110" s="26" t="inlineStr"/>
      <c r="U110" s="29" t="inlineStr">
        <is>
          <t>https://ted.europa.eu/en/notice/-/detail/381122-2019</t>
        </is>
      </c>
      <c r="V110" s="26" t="inlineStr">
        <is>
          <t>Procurement of special-purpose mobile containers by Czech Ministry of Defence. No detailed description provided in notice.</t>
        </is>
      </c>
      <c r="W110" s="26" t="inlineStr">
        <is>
          <t>TED</t>
        </is>
      </c>
      <c r="X110" s="26" t="inlineStr"/>
    </row>
    <row r="111" ht="45" customHeight="1">
      <c r="B111" s="26" t="inlineStr">
        <is>
          <t>156274-2020</t>
        </is>
      </c>
      <c r="C111" s="26" t="inlineStr">
        <is>
          <t>Special-purpose mobile containers</t>
        </is>
      </c>
      <c r="D111" s="26" t="inlineStr">
        <is>
          <t>Czech Republic</t>
        </is>
      </c>
      <c r="E111" s="26" t="inlineStr">
        <is>
          <t>Česká republika - Ministerstvo obrany</t>
        </is>
      </c>
      <c r="F111" s="27" t="n">
        <v>43922</v>
      </c>
      <c r="G111" s="26" t="inlineStr">
        <is>
          <t>Awarded</t>
        </is>
      </c>
      <c r="H111" s="28" t="n">
        <v>65231100</v>
      </c>
      <c r="I111" s="26" t="inlineStr">
        <is>
          <t>CZK</t>
        </is>
      </c>
      <c r="J111" s="28" t="n">
        <v>2609244</v>
      </c>
      <c r="K111" s="26" t="inlineStr">
        <is>
          <t>Special-purpose mobile container</t>
        </is>
      </c>
      <c r="L111" s="26" t="inlineStr">
        <is>
          <t>Special Purpose</t>
        </is>
      </c>
      <c r="M111" s="26" t="n"/>
      <c r="N111" s="26" t="inlineStr"/>
      <c r="O111" s="26" t="inlineStr"/>
      <c r="P111" s="26" t="n"/>
      <c r="Q111" s="26" t="inlineStr"/>
      <c r="R111" s="26" t="n"/>
      <c r="S111" s="26" t="inlineStr"/>
      <c r="T111" s="26" t="inlineStr">
        <is>
          <t>4 Army, s.r.o.</t>
        </is>
      </c>
      <c r="U111" s="29" t="inlineStr">
        <is>
          <t>https://ted.europa.eu/en/notice/-/detail/156274-2020</t>
        </is>
      </c>
      <c r="V111" s="26" t="inlineStr">
        <is>
          <t>Procurement of special-purpose mobile containers for military use by Czech Ministry of Defence</t>
        </is>
      </c>
      <c r="W111" s="26" t="inlineStr">
        <is>
          <t>TED</t>
        </is>
      </c>
      <c r="X111" s="26" t="inlineStr"/>
    </row>
    <row r="112" ht="45" customHeight="1">
      <c r="B112" s="26" t="inlineStr">
        <is>
          <t>437386-2019</t>
        </is>
      </c>
      <c r="C112" s="26" t="inlineStr">
        <is>
          <t>Special-purpose mobile containers</t>
        </is>
      </c>
      <c r="D112" s="26" t="inlineStr">
        <is>
          <t>Denmark</t>
        </is>
      </c>
      <c r="E112" s="26" t="inlineStr">
        <is>
          <t>Forsvarsministeriet Materiel- og Indkøbsstyrelsen</t>
        </is>
      </c>
      <c r="F112" s="27" t="n">
        <v>43725</v>
      </c>
      <c r="G112" s="26" t="inlineStr">
        <is>
          <t>Closed</t>
        </is>
      </c>
      <c r="H112" s="28" t="n">
        <v>90000000</v>
      </c>
      <c r="I112" s="26" t="inlineStr">
        <is>
          <t>DKK</t>
        </is>
      </c>
      <c r="J112" s="28" t="n">
        <v>12060000</v>
      </c>
      <c r="K112" s="26" t="inlineStr">
        <is>
          <t>Special-purpose mobile container system</t>
        </is>
      </c>
      <c r="L112" s="26" t="inlineStr">
        <is>
          <t>Special Purpose</t>
        </is>
      </c>
      <c r="M112" s="26" t="n"/>
      <c r="N112" s="26" t="inlineStr"/>
      <c r="O112" s="26" t="inlineStr"/>
      <c r="P112" s="26" t="n"/>
      <c r="Q112" s="26" t="inlineStr"/>
      <c r="R112" s="26" t="n"/>
      <c r="S112" s="26" t="inlineStr">
        <is>
          <t>84 months</t>
        </is>
      </c>
      <c r="T112" s="26" t="inlineStr"/>
      <c r="U112" s="29" t="inlineStr">
        <is>
          <t>https://ted.europa.eu/en/notice/-/detail/437386-2019</t>
        </is>
      </c>
      <c r="V112" s="26" t="inlineStr">
        <is>
          <t>Procurement of special-purpose mobile containers by Danish Defence Materiel and Procurement Agency</t>
        </is>
      </c>
      <c r="W112" s="26" t="inlineStr">
        <is>
          <t>TED</t>
        </is>
      </c>
      <c r="X112" s="26" t="inlineStr"/>
    </row>
    <row r="113" ht="45" customHeight="1">
      <c r="B113" s="26" t="inlineStr">
        <is>
          <t>544760-2024</t>
        </is>
      </c>
      <c r="C113" s="26" t="inlineStr">
        <is>
          <t>Supply of Self-Contained Medical Trailers</t>
        </is>
      </c>
      <c r="D113" s="26" t="inlineStr">
        <is>
          <t>Germany</t>
        </is>
      </c>
      <c r="E113" s="26" t="inlineStr">
        <is>
          <t>Bundeswehr-Dienstleistungszentrum Munster</t>
        </is>
      </c>
      <c r="F113" s="27" t="n">
        <v>45546</v>
      </c>
      <c r="G113" s="26" t="inlineStr">
        <is>
          <t>Awarded</t>
        </is>
      </c>
      <c r="H113" s="26" t="n"/>
      <c r="I113" s="26" t="inlineStr"/>
      <c r="J113" s="26" t="n"/>
      <c r="K113" s="26" t="inlineStr">
        <is>
          <t>Self-contained medical/sanitary trailer</t>
        </is>
      </c>
      <c r="L113" s="26" t="inlineStr">
        <is>
          <t>Special Purpose</t>
        </is>
      </c>
      <c r="M113" s="28" t="n">
        <v>7</v>
      </c>
      <c r="N113" s="26" t="inlineStr"/>
      <c r="O113" s="26" t="inlineStr"/>
      <c r="P113" s="26" t="n"/>
      <c r="Q113" s="26" t="inlineStr"/>
      <c r="R113" s="26" t="n"/>
      <c r="S113" s="26" t="inlineStr"/>
      <c r="T113" s="26" t="inlineStr">
        <is>
          <t>TOMOBIL GmbH</t>
        </is>
      </c>
      <c r="U113" s="29" t="inlineStr">
        <is>
          <t>https://ted.europa.eu/en/notice/-/detail/544760-2024</t>
        </is>
      </c>
      <c r="V113" s="26" t="inlineStr">
        <is>
          <t>Procurement of 7 pieces of self-contained medical/sanitary trailers for German Armed Forces, specifications according to material and performance list</t>
        </is>
      </c>
      <c r="W113" s="26" t="inlineStr">
        <is>
          <t>TED</t>
        </is>
      </c>
      <c r="X113" s="26" t="inlineStr"/>
    </row>
    <row r="114" ht="45" customHeight="1">
      <c r="B114" s="26" t="inlineStr">
        <is>
          <t>252675-2024</t>
        </is>
      </c>
      <c r="C114" s="26" t="inlineStr">
        <is>
          <t>Romania - Field kitchens - Kitchen assembly procurement (containers and tent)</t>
        </is>
      </c>
      <c r="D114" s="26" t="inlineStr">
        <is>
          <t>Romania</t>
        </is>
      </c>
      <c r="E114" s="26" t="inlineStr">
        <is>
          <t>Ministerul Apararii Nationale - Unitatea Militara 01020</t>
        </is>
      </c>
      <c r="F114" s="27" t="n">
        <v>45411</v>
      </c>
      <c r="G114" s="26" t="inlineStr">
        <is>
          <t>Awarded</t>
        </is>
      </c>
      <c r="H114" s="28" t="n">
        <v>7184000</v>
      </c>
      <c r="I114" s="26" t="inlineStr">
        <is>
          <t>RON</t>
        </is>
      </c>
      <c r="J114" s="28" t="n">
        <v>1443984</v>
      </c>
      <c r="K114" s="26" t="inlineStr">
        <is>
          <t>Field kitchen trailer with containers and tent</t>
        </is>
      </c>
      <c r="L114" s="26" t="inlineStr">
        <is>
          <t>Field Kitchen</t>
        </is>
      </c>
      <c r="M114" s="28" t="n">
        <v>6</v>
      </c>
      <c r="N114" s="26" t="inlineStr"/>
      <c r="O114" s="26" t="inlineStr"/>
      <c r="P114" s="26" t="n"/>
      <c r="Q114" s="26" t="inlineStr"/>
      <c r="R114" s="26" t="n"/>
      <c r="S114" s="26" t="inlineStr">
        <is>
          <t>24 months</t>
        </is>
      </c>
      <c r="T114" s="26" t="inlineStr">
        <is>
          <t>STIMPEX</t>
        </is>
      </c>
      <c r="U114" s="29" t="inlineStr">
        <is>
          <t>https://ted.europa.eu/en/notice/-/detail/252675-2024</t>
        </is>
      </c>
      <c r="V114" s="26" t="inlineStr">
        <is>
          <t>Supply of 6 complete kitchen assemblies according to technical specifications. Minimum quantity 1 unit, maximum 6 units. Value range 4.2-25.2M RON for AC variant, 8.4-16.8M RON for CS variant. Technical specifications detailed in annex 2.</t>
        </is>
      </c>
      <c r="W114" s="26" t="inlineStr">
        <is>
          <t>TED</t>
        </is>
      </c>
      <c r="X114" s="26" t="inlineStr"/>
    </row>
    <row r="115" ht="45" customHeight="1">
      <c r="B115" s="26" t="inlineStr">
        <is>
          <t>619862-2019</t>
        </is>
      </c>
      <c r="C115" s="26" t="inlineStr">
        <is>
          <t>Special-purpose mobile containers</t>
        </is>
      </c>
      <c r="D115" s="26" t="inlineStr">
        <is>
          <t>Finland</t>
        </is>
      </c>
      <c r="E115" s="26" t="inlineStr">
        <is>
          <t>Puolustusvoimat</t>
        </is>
      </c>
      <c r="F115" s="27" t="n">
        <v>43826</v>
      </c>
      <c r="G115" s="26" t="inlineStr">
        <is>
          <t>Awarded</t>
        </is>
      </c>
      <c r="H115" s="28" t="n">
        <v>3073856</v>
      </c>
      <c r="I115" s="26" t="inlineStr">
        <is>
          <t>EUR</t>
        </is>
      </c>
      <c r="J115" s="28" t="n">
        <v>3073856</v>
      </c>
      <c r="K115" s="26" t="inlineStr">
        <is>
          <t>Special-purpose mobile container</t>
        </is>
      </c>
      <c r="L115" s="26" t="inlineStr">
        <is>
          <t>Mission Module</t>
        </is>
      </c>
      <c r="M115" s="26" t="n"/>
      <c r="N115" s="26" t="inlineStr"/>
      <c r="O115" s="26" t="inlineStr"/>
      <c r="P115" s="26" t="n"/>
      <c r="Q115" s="26" t="inlineStr"/>
      <c r="R115" s="26" t="n"/>
      <c r="S115" s="26" t="inlineStr">
        <is>
          <t>12 months</t>
        </is>
      </c>
      <c r="T115" s="26" t="inlineStr">
        <is>
          <t>Jet-Tekno Oy</t>
        </is>
      </c>
      <c r="U115" s="29" t="inlineStr">
        <is>
          <t>https://ted.europa.eu/en/notice/-/detail/619862-2019</t>
        </is>
      </c>
      <c r="V115" s="26" t="inlineStr">
        <is>
          <t>Procurement of special-purpose mobile containers by Finnish Defence Forces</t>
        </is>
      </c>
      <c r="W115" s="26" t="inlineStr">
        <is>
          <t>TED</t>
        </is>
      </c>
      <c r="X115" s="26" t="inlineStr"/>
    </row>
    <row r="116" ht="45" customHeight="1">
      <c r="B116" s="26" t="inlineStr">
        <is>
          <t>580921-2021</t>
        </is>
      </c>
      <c r="C116" s="26" t="inlineStr">
        <is>
          <t>Special-purpose mobile containers</t>
        </is>
      </c>
      <c r="D116" s="26" t="inlineStr">
        <is>
          <t>Denmark</t>
        </is>
      </c>
      <c r="E116" s="26" t="inlineStr">
        <is>
          <t>Forsvarsministeriet Materiel- og Indkøbsstyrelsen</t>
        </is>
      </c>
      <c r="F116" s="27" t="n">
        <v>44512</v>
      </c>
      <c r="G116" s="26" t="inlineStr">
        <is>
          <t>Awarded</t>
        </is>
      </c>
      <c r="H116" s="28" t="n">
        <v>17900000</v>
      </c>
      <c r="I116" s="26" t="inlineStr">
        <is>
          <t>DKK</t>
        </is>
      </c>
      <c r="J116" s="28" t="n">
        <v>2398600</v>
      </c>
      <c r="K116" s="26" t="inlineStr">
        <is>
          <t>Special-purpose mobile container system</t>
        </is>
      </c>
      <c r="L116" s="26" t="inlineStr">
        <is>
          <t>Special Purpose</t>
        </is>
      </c>
      <c r="M116" s="26" t="n"/>
      <c r="N116" s="26" t="inlineStr"/>
      <c r="O116" s="26" t="inlineStr"/>
      <c r="P116" s="26" t="n"/>
      <c r="Q116" s="26" t="inlineStr"/>
      <c r="R116" s="26" t="n"/>
      <c r="S116" s="26" t="inlineStr"/>
      <c r="T116" s="26" t="inlineStr">
        <is>
          <t>dc-supply A/S</t>
        </is>
      </c>
      <c r="U116" s="29" t="inlineStr">
        <is>
          <t>https://ted.europa.eu/en/notice/-/detail/580921-2021</t>
        </is>
      </c>
      <c r="V116" s="26" t="inlineStr">
        <is>
          <t>Procurement of special-purpose mobile containers for Danish Defence</t>
        </is>
      </c>
      <c r="W116" s="26" t="inlineStr">
        <is>
          <t>TED</t>
        </is>
      </c>
      <c r="X116" s="26" t="inlineStr"/>
    </row>
    <row r="117" ht="45" customHeight="1">
      <c r="B117" s="26" t="inlineStr">
        <is>
          <t>438372-2024</t>
        </is>
      </c>
      <c r="C117" s="26" t="inlineStr">
        <is>
          <t>Finland - Expandable Command Post Containers</t>
        </is>
      </c>
      <c r="D117" s="26" t="inlineStr">
        <is>
          <t>Finland</t>
        </is>
      </c>
      <c r="E117" s="26" t="inlineStr">
        <is>
          <t>Puolustusvoimien logistiikkalaitos</t>
        </is>
      </c>
      <c r="F117" s="27" t="n">
        <v>45495</v>
      </c>
      <c r="G117" s="26" t="inlineStr">
        <is>
          <t>Awarded</t>
        </is>
      </c>
      <c r="H117" s="28" t="n">
        <v>3416796</v>
      </c>
      <c r="I117" s="26" t="inlineStr">
        <is>
          <t>EUR</t>
        </is>
      </c>
      <c r="J117" s="28" t="n">
        <v>3416796</v>
      </c>
      <c r="K117" s="26" t="inlineStr">
        <is>
          <t>Expandable command post container</t>
        </is>
      </c>
      <c r="L117" s="26" t="inlineStr">
        <is>
          <t>Mission Module</t>
        </is>
      </c>
      <c r="M117" s="28" t="n">
        <v>4</v>
      </c>
      <c r="N117" s="26" t="inlineStr"/>
      <c r="O117" s="26" t="inlineStr"/>
      <c r="P117" s="26" t="n"/>
      <c r="Q117" s="26" t="inlineStr">
        <is>
          <t>12x expandable command post containers (options for 2025-2028)</t>
        </is>
      </c>
      <c r="R117" s="28" t="n">
        <v>12</v>
      </c>
      <c r="S117" s="26" t="inlineStr">
        <is>
          <t>48 months</t>
        </is>
      </c>
      <c r="T117" s="26" t="inlineStr">
        <is>
          <t>MDSC Systems Oü</t>
        </is>
      </c>
      <c r="U117" s="29" t="inlineStr">
        <is>
          <t>https://ted.europa.eu/en/notice/-/detail/438372-2024</t>
        </is>
      </c>
      <c r="V117" s="26" t="inlineStr">
        <is>
          <t>Procurement includes 4 expandable command post containers for 2025 plus options for 12 additional units for 2025-2028.</t>
        </is>
      </c>
      <c r="W117" s="26" t="inlineStr">
        <is>
          <t>TED</t>
        </is>
      </c>
      <c r="X117" s="26" t="inlineStr"/>
    </row>
    <row r="118" ht="45" customHeight="1">
      <c r="B118" s="26" t="inlineStr">
        <is>
          <t>538598-2019</t>
        </is>
      </c>
      <c r="C118" s="26" t="inlineStr">
        <is>
          <t>Special-purpose mobile containers</t>
        </is>
      </c>
      <c r="D118" s="26" t="inlineStr">
        <is>
          <t>Luxembourg</t>
        </is>
      </c>
      <c r="E118" s="26" t="inlineStr">
        <is>
          <t>MAEE — direction de la défense</t>
        </is>
      </c>
      <c r="F118" s="27" t="n">
        <v>43782</v>
      </c>
      <c r="G118" s="26" t="inlineStr">
        <is>
          <t>Closed</t>
        </is>
      </c>
      <c r="H118" s="26" t="n"/>
      <c r="I118" s="26" t="inlineStr"/>
      <c r="J118" s="26" t="n"/>
      <c r="K118" s="26" t="inlineStr">
        <is>
          <t>Special-purpose mobile container (type not specified in notice)</t>
        </is>
      </c>
      <c r="L118" s="26" t="inlineStr">
        <is>
          <t>Special Purpose</t>
        </is>
      </c>
      <c r="M118" s="26" t="n"/>
      <c r="N118" s="26" t="inlineStr"/>
      <c r="O118" s="26" t="inlineStr"/>
      <c r="P118" s="26" t="n"/>
      <c r="Q118" s="26" t="inlineStr"/>
      <c r="R118" s="26" t="n"/>
      <c r="S118" s="26" t="inlineStr"/>
      <c r="T118" s="26" t="inlineStr"/>
      <c r="U118" s="29" t="inlineStr">
        <is>
          <t>https://ted.europa.eu/en/notice/-/detail/538598-2019</t>
        </is>
      </c>
      <c r="V118" s="26" t="inlineStr">
        <is>
          <t>Procurement of special-purpose mobile containers by Luxembourg Ministry of Foreign Affairs - Defence Directorate</t>
        </is>
      </c>
      <c r="W118" s="26" t="inlineStr">
        <is>
          <t>TED</t>
        </is>
      </c>
      <c r="X118" s="26" t="inlineStr"/>
    </row>
    <row r="119" ht="45" customHeight="1">
      <c r="B119" s="26" t="inlineStr">
        <is>
          <t>245779-2019</t>
        </is>
      </c>
      <c r="C119" s="26" t="inlineStr">
        <is>
          <t>Special-purpose mobile containers</t>
        </is>
      </c>
      <c r="D119" s="26" t="inlineStr">
        <is>
          <t>Hungary</t>
        </is>
      </c>
      <c r="E119" s="26" t="inlineStr">
        <is>
          <t>Honvédelmi Minisztérium Védelemgazdasági Hivatal</t>
        </is>
      </c>
      <c r="F119" s="27" t="n">
        <v>43612</v>
      </c>
      <c r="G119" s="26" t="inlineStr">
        <is>
          <t>Awarded</t>
        </is>
      </c>
      <c r="H119" s="28" t="n">
        <v>263760000</v>
      </c>
      <c r="I119" s="26" t="inlineStr">
        <is>
          <t>HUF</t>
        </is>
      </c>
      <c r="J119" s="28" t="n">
        <v>659400</v>
      </c>
      <c r="K119" s="26" t="inlineStr">
        <is>
          <t>Special-purpose mobile container</t>
        </is>
      </c>
      <c r="L119" s="26" t="inlineStr">
        <is>
          <t>Special Purpose</t>
        </is>
      </c>
      <c r="M119" s="26" t="n"/>
      <c r="N119" s="26" t="inlineStr"/>
      <c r="O119" s="26" t="inlineStr"/>
      <c r="P119" s="26" t="n"/>
      <c r="Q119" s="26" t="inlineStr"/>
      <c r="R119" s="26" t="n"/>
      <c r="S119" s="26" t="inlineStr"/>
      <c r="T119" s="26" t="inlineStr">
        <is>
          <t>ENERGOTEST Diagnosztikai és Automatizálási Kft.</t>
        </is>
      </c>
      <c r="U119" s="29" t="inlineStr">
        <is>
          <t>https://ted.europa.eu/en/notice/-/detail/245779-2019</t>
        </is>
      </c>
      <c r="V119" s="26" t="inlineStr">
        <is>
          <t>Procurement of special-purpose mobile containers by Hungarian Ministry of Defence</t>
        </is>
      </c>
      <c r="W119" s="26" t="inlineStr">
        <is>
          <t>TED</t>
        </is>
      </c>
      <c r="X119" s="26" t="inlineStr"/>
    </row>
    <row r="120" ht="45" customHeight="1">
      <c r="B120" s="26" t="inlineStr">
        <is>
          <t>502486-2022</t>
        </is>
      </c>
      <c r="C120" s="26" t="inlineStr">
        <is>
          <t>Special-purpose mobile containers</t>
        </is>
      </c>
      <c r="D120" s="26" t="inlineStr">
        <is>
          <t>Hungary</t>
        </is>
      </c>
      <c r="E120" s="26" t="inlineStr">
        <is>
          <t>Védelmi Beszerzési Ügynökség Zártkörűen Működő Részvénytársaság</t>
        </is>
      </c>
      <c r="F120" s="27" t="n">
        <v>44818</v>
      </c>
      <c r="G120" s="26" t="inlineStr">
        <is>
          <t>Closed</t>
        </is>
      </c>
      <c r="H120" s="26" t="n"/>
      <c r="I120" s="26" t="inlineStr"/>
      <c r="J120" s="26" t="n"/>
      <c r="K120" s="26" t="inlineStr">
        <is>
          <t>Special-purpose mobile container</t>
        </is>
      </c>
      <c r="L120" s="26" t="inlineStr">
        <is>
          <t>Special Purpose</t>
        </is>
      </c>
      <c r="M120" s="26" t="n"/>
      <c r="N120" s="26" t="inlineStr"/>
      <c r="O120" s="26" t="inlineStr"/>
      <c r="P120" s="26" t="n"/>
      <c r="Q120" s="26" t="inlineStr"/>
      <c r="R120" s="26" t="n"/>
      <c r="S120" s="26" t="inlineStr"/>
      <c r="T120" s="26" t="inlineStr"/>
      <c r="U120" s="29" t="inlineStr">
        <is>
          <t>https://ted.europa.eu/en/notice/-/detail/502486-2022</t>
        </is>
      </c>
      <c r="V120" s="26" t="inlineStr">
        <is>
          <t>Procurement of special-purpose mobile containers by Hungarian Defence Procurement Agency</t>
        </is>
      </c>
      <c r="W120" s="26" t="inlineStr">
        <is>
          <t>TED</t>
        </is>
      </c>
      <c r="X120" s="26" t="inlineStr"/>
    </row>
    <row r="121" ht="45" customHeight="1">
      <c r="B121" s="26" t="inlineStr">
        <is>
          <t>72803-2022</t>
        </is>
      </c>
      <c r="C121" s="26" t="inlineStr">
        <is>
          <t>Special-purpose mobile containers</t>
        </is>
      </c>
      <c r="D121" s="26" t="inlineStr">
        <is>
          <t>Finland</t>
        </is>
      </c>
      <c r="E121" s="26" t="inlineStr">
        <is>
          <t>Puolustusvoimat</t>
        </is>
      </c>
      <c r="F121" s="27" t="n">
        <v>44601</v>
      </c>
      <c r="G121" s="26" t="inlineStr">
        <is>
          <t>Awarded</t>
        </is>
      </c>
      <c r="H121" s="28" t="n">
        <v>3562240</v>
      </c>
      <c r="I121" s="26" t="inlineStr">
        <is>
          <t>EUR</t>
        </is>
      </c>
      <c r="J121" s="28" t="n">
        <v>3562240</v>
      </c>
      <c r="K121" s="26" t="inlineStr">
        <is>
          <t>Special-purpose mobile container trailer</t>
        </is>
      </c>
      <c r="L121" s="26" t="inlineStr">
        <is>
          <t>Special Purpose</t>
        </is>
      </c>
      <c r="M121" s="26" t="n"/>
      <c r="N121" s="26" t="inlineStr"/>
      <c r="O121" s="26" t="inlineStr"/>
      <c r="P121" s="26" t="n"/>
      <c r="Q121" s="26" t="inlineStr"/>
      <c r="R121" s="26" t="n"/>
      <c r="S121" s="26" t="inlineStr"/>
      <c r="T121" s="26" t="inlineStr">
        <is>
          <t>Conlog Oy</t>
        </is>
      </c>
      <c r="U121" s="29" t="inlineStr">
        <is>
          <t>https://ted.europa.eu/en/notice/-/detail/72803-2022</t>
        </is>
      </c>
      <c r="V121" s="26" t="inlineStr">
        <is>
          <t>Procurement of special-purpose mobile containers by Finnish Defence Forces</t>
        </is>
      </c>
      <c r="W121" s="26" t="inlineStr">
        <is>
          <t>TED</t>
        </is>
      </c>
      <c r="X121" s="26" t="inlineStr"/>
    </row>
    <row r="122" ht="45" customHeight="1">
      <c r="B122" s="26" t="inlineStr">
        <is>
          <t>748301-2024</t>
        </is>
      </c>
      <c r="C122" s="26" t="inlineStr">
        <is>
          <t>Romania - Field kitchens - Mobile auto field kitchens and Refrigerated trailers</t>
        </is>
      </c>
      <c r="D122" s="26" t="inlineStr">
        <is>
          <t>Romania</t>
        </is>
      </c>
      <c r="E122" s="26" t="inlineStr">
        <is>
          <t>Ministerul Apararii Nationale - Unitatea Militara 01836</t>
        </is>
      </c>
      <c r="F122" s="27" t="n">
        <v>45632</v>
      </c>
      <c r="G122" s="26" t="inlineStr">
        <is>
          <t>Awarded</t>
        </is>
      </c>
      <c r="H122" s="28" t="n">
        <v>14787100</v>
      </c>
      <c r="I122" s="26" t="inlineStr">
        <is>
          <t>RON</t>
        </is>
      </c>
      <c r="J122" s="28" t="n">
        <v>2972207</v>
      </c>
      <c r="K122" s="26" t="inlineStr">
        <is>
          <t>Mobile auto field kitchen</t>
        </is>
      </c>
      <c r="L122" s="26" t="inlineStr">
        <is>
          <t>Field Kitchen</t>
        </is>
      </c>
      <c r="M122" s="28" t="n">
        <v>32</v>
      </c>
      <c r="N122" s="26" t="inlineStr">
        <is>
          <t>Refrigerated trailer</t>
        </is>
      </c>
      <c r="O122" s="26" t="inlineStr">
        <is>
          <t>Special Purpose</t>
        </is>
      </c>
      <c r="P122" s="28" t="n">
        <v>32</v>
      </c>
      <c r="Q122" s="26" t="inlineStr"/>
      <c r="R122" s="26" t="n"/>
      <c r="S122" s="26" t="inlineStr">
        <is>
          <t>24 months</t>
        </is>
      </c>
      <c r="T122" s="26" t="inlineStr">
        <is>
          <t>PRO HORECA</t>
        </is>
      </c>
      <c r="U122" s="29" t="inlineStr">
        <is>
          <t>https://ted.europa.eu/en/notice/-/detail/748301-2024</t>
        </is>
      </c>
      <c r="V122" s="26" t="inlineStr">
        <is>
          <t>Framework agreement for supply of mobile auto field kitchens (8-32 units) and refrigerated trailers (8-32 units) over 24 months. Minimum quantities 8 each, maximum quantities 32 each, with subsequent contracts ranging from 1-16 units for kitchens and 4-16 units for refrigerated trailers.</t>
        </is>
      </c>
      <c r="W122" s="26" t="inlineStr">
        <is>
          <t>TED</t>
        </is>
      </c>
      <c r="X122" s="26" t="inlineStr"/>
    </row>
    <row r="123" ht="45" customHeight="1">
      <c r="B123" s="26" t="inlineStr">
        <is>
          <t>473074-2022</t>
        </is>
      </c>
      <c r="C123" s="26" t="inlineStr">
        <is>
          <t>Field kitchens</t>
        </is>
      </c>
      <c r="D123" s="26" t="inlineStr">
        <is>
          <t>Romania</t>
        </is>
      </c>
      <c r="E123" s="26" t="inlineStr">
        <is>
          <t>Ministerul Apararii Nationale - Unitatea Militara 01836</t>
        </is>
      </c>
      <c r="F123" s="27" t="n">
        <v>44804</v>
      </c>
      <c r="G123" s="26" t="inlineStr">
        <is>
          <t>Closed</t>
        </is>
      </c>
      <c r="H123" s="28" t="n">
        <v>31444480</v>
      </c>
      <c r="I123" s="26" t="inlineStr">
        <is>
          <t>RON</t>
        </is>
      </c>
      <c r="J123" s="28" t="n">
        <v>6320340</v>
      </c>
      <c r="K123" s="26" t="inlineStr">
        <is>
          <t>Field kitchen trailer</t>
        </is>
      </c>
      <c r="L123" s="26" t="inlineStr">
        <is>
          <t>Field Kitchen</t>
        </is>
      </c>
      <c r="M123" s="28" t="n">
        <v>32</v>
      </c>
      <c r="N123" s="26" t="inlineStr"/>
      <c r="O123" s="26" t="inlineStr"/>
      <c r="P123" s="26" t="n"/>
      <c r="Q123" s="26" t="inlineStr"/>
      <c r="R123" s="26" t="n"/>
      <c r="S123" s="26" t="inlineStr">
        <is>
          <t>24 months</t>
        </is>
      </c>
      <c r="T123" s="26" t="inlineStr"/>
      <c r="U123" s="29" t="inlineStr">
        <is>
          <t>https://ted.europa.eu/en/notice/-/detail/473074-2022</t>
        </is>
      </c>
      <c r="V123" s="26" t="inlineStr">
        <is>
          <t>Procurement of field kitchens by Romanian Ministry of Defence</t>
        </is>
      </c>
      <c r="W123" s="26" t="inlineStr">
        <is>
          <t>TED</t>
        </is>
      </c>
      <c r="X123" s="26" t="inlineStr"/>
    </row>
    <row r="124" ht="45" customHeight="1">
      <c r="B124" s="26" t="inlineStr">
        <is>
          <t>192334-2020</t>
        </is>
      </c>
      <c r="C124" s="26" t="inlineStr">
        <is>
          <t>Special-purpose mobile containers</t>
        </is>
      </c>
      <c r="D124" s="26" t="inlineStr">
        <is>
          <t>Denmark</t>
        </is>
      </c>
      <c r="E124" s="26" t="inlineStr">
        <is>
          <t>Forsvarsministeriet Materiel- og Indkøbsstyrelsen</t>
        </is>
      </c>
      <c r="F124" s="27" t="n">
        <v>43945</v>
      </c>
      <c r="G124" s="26" t="inlineStr">
        <is>
          <t>Closed</t>
        </is>
      </c>
      <c r="H124" s="28" t="n">
        <v>35000000</v>
      </c>
      <c r="I124" s="26" t="inlineStr">
        <is>
          <t>DKK</t>
        </is>
      </c>
      <c r="J124" s="28" t="n">
        <v>4690000</v>
      </c>
      <c r="K124" s="26" t="inlineStr">
        <is>
          <t>Special-purpose mobile container</t>
        </is>
      </c>
      <c r="L124" s="26" t="inlineStr">
        <is>
          <t>Special Purpose</t>
        </is>
      </c>
      <c r="M124" s="26" t="n"/>
      <c r="N124" s="26" t="inlineStr"/>
      <c r="O124" s="26" t="inlineStr"/>
      <c r="P124" s="26" t="n"/>
      <c r="Q124" s="26" t="inlineStr"/>
      <c r="R124" s="26" t="n"/>
      <c r="S124" s="26" t="inlineStr">
        <is>
          <t>84 months</t>
        </is>
      </c>
      <c r="T124" s="26" t="inlineStr"/>
      <c r="U124" s="29" t="inlineStr">
        <is>
          <t>https://ted.europa.eu/en/notice/-/detail/192334-2020</t>
        </is>
      </c>
      <c r="V124" s="26" t="inlineStr">
        <is>
          <t>Procurement of special-purpose mobile containers by Danish Defence Material and Procurement Agency</t>
        </is>
      </c>
      <c r="W124" s="26" t="inlineStr">
        <is>
          <t>TED</t>
        </is>
      </c>
      <c r="X124" s="26" t="inlineStr"/>
    </row>
    <row r="125" ht="45" customHeight="1">
      <c r="B125" s="26" t="inlineStr">
        <is>
          <t>140196-2020</t>
        </is>
      </c>
      <c r="C125" s="26" t="inlineStr">
        <is>
          <t>Special-purpose mobile containers</t>
        </is>
      </c>
      <c r="D125" s="26" t="inlineStr">
        <is>
          <t>Finland</t>
        </is>
      </c>
      <c r="E125" s="26" t="inlineStr">
        <is>
          <t>Puolustusvoimien logistiikkalaitos</t>
        </is>
      </c>
      <c r="F125" s="27" t="n">
        <v>43913</v>
      </c>
      <c r="G125" s="26" t="inlineStr">
        <is>
          <t>Awarded</t>
        </is>
      </c>
      <c r="H125" s="28" t="n">
        <v>3991600</v>
      </c>
      <c r="I125" s="26" t="inlineStr">
        <is>
          <t>EUR</t>
        </is>
      </c>
      <c r="J125" s="28" t="n">
        <v>3991600</v>
      </c>
      <c r="K125" s="26" t="inlineStr">
        <is>
          <t>Special-purpose mobile container</t>
        </is>
      </c>
      <c r="L125" s="26" t="inlineStr">
        <is>
          <t>Special Purpose</t>
        </is>
      </c>
      <c r="M125" s="26" t="n"/>
      <c r="N125" s="26" t="inlineStr"/>
      <c r="O125" s="26" t="inlineStr"/>
      <c r="P125" s="26" t="n"/>
      <c r="Q125" s="26" t="inlineStr"/>
      <c r="R125" s="26" t="n"/>
      <c r="S125" s="26" t="inlineStr">
        <is>
          <t>48 months</t>
        </is>
      </c>
      <c r="T125" s="26" t="inlineStr">
        <is>
          <t>Geneset Powerplants Oy</t>
        </is>
      </c>
      <c r="U125" s="29" t="inlineStr">
        <is>
          <t>https://ted.europa.eu/en/notice/-/detail/140196-2020</t>
        </is>
      </c>
      <c r="V125" s="26" t="inlineStr">
        <is>
          <t>Procurement of special-purpose mobile containers by Finnish Defence Forces Logistics Command</t>
        </is>
      </c>
      <c r="W125" s="26" t="inlineStr">
        <is>
          <t>TED</t>
        </is>
      </c>
      <c r="X125" s="26" t="inlineStr"/>
    </row>
    <row r="126" ht="45" customHeight="1">
      <c r="B126" s="26" t="inlineStr">
        <is>
          <t>282269-2023</t>
        </is>
      </c>
      <c r="C126" s="26" t="inlineStr">
        <is>
          <t>Special-purpose mobile containers</t>
        </is>
      </c>
      <c r="D126" s="26" t="inlineStr">
        <is>
          <t>Finland</t>
        </is>
      </c>
      <c r="E126" s="26" t="inlineStr">
        <is>
          <t>Puolustusvoimat</t>
        </is>
      </c>
      <c r="F126" s="27" t="n">
        <v>45058</v>
      </c>
      <c r="G126" s="26" t="inlineStr">
        <is>
          <t>Awarded</t>
        </is>
      </c>
      <c r="H126" s="28" t="n">
        <v>122600</v>
      </c>
      <c r="I126" s="26" t="inlineStr">
        <is>
          <t>EUR</t>
        </is>
      </c>
      <c r="J126" s="28" t="n">
        <v>122600</v>
      </c>
      <c r="K126" s="26" t="inlineStr">
        <is>
          <t>Special-purpose mobile container system</t>
        </is>
      </c>
      <c r="L126" s="26" t="inlineStr">
        <is>
          <t>Special Purpose</t>
        </is>
      </c>
      <c r="M126" s="26" t="n"/>
      <c r="N126" s="26" t="inlineStr"/>
      <c r="O126" s="26" t="inlineStr"/>
      <c r="P126" s="26" t="n"/>
      <c r="Q126" s="26" t="inlineStr"/>
      <c r="R126" s="26" t="n"/>
      <c r="S126" s="26" t="inlineStr"/>
      <c r="T126" s="26" t="inlineStr">
        <is>
          <t>Nokian Metallirakenne Oy</t>
        </is>
      </c>
      <c r="U126" s="29" t="inlineStr">
        <is>
          <t>https://ted.europa.eu/en/notice/-/detail/282269-2023</t>
        </is>
      </c>
      <c r="V126" s="26" t="inlineStr">
        <is>
          <t>Procurement of special-purpose mobile containers by Finnish Defence Forces</t>
        </is>
      </c>
      <c r="W126" s="26" t="inlineStr">
        <is>
          <t>TED</t>
        </is>
      </c>
      <c r="X126" s="26" t="inlineStr"/>
    </row>
    <row r="127" ht="45" customHeight="1">
      <c r="B127" s="26" t="inlineStr">
        <is>
          <t>61174-2019</t>
        </is>
      </c>
      <c r="C127" s="26" t="inlineStr">
        <is>
          <t>Special-purpose mobile containers</t>
        </is>
      </c>
      <c r="D127" s="26" t="inlineStr">
        <is>
          <t>Netherlands</t>
        </is>
      </c>
      <c r="E127" s="26" t="inlineStr">
        <is>
          <t>Ministerie van Defensie/Defensie Materieel Organisatie</t>
        </is>
      </c>
      <c r="F127" s="27" t="n">
        <v>43503</v>
      </c>
      <c r="G127" s="26" t="inlineStr">
        <is>
          <t>Awarded</t>
        </is>
      </c>
      <c r="H127" s="26" t="n"/>
      <c r="I127" s="26" t="inlineStr"/>
      <c r="J127" s="26" t="n"/>
      <c r="K127" s="26" t="inlineStr">
        <is>
          <t>Special-purpose mobile container system</t>
        </is>
      </c>
      <c r="L127" s="26" t="inlineStr">
        <is>
          <t>Special Purpose</t>
        </is>
      </c>
      <c r="M127" s="26" t="n"/>
      <c r="N127" s="26" t="inlineStr"/>
      <c r="O127" s="26" t="inlineStr"/>
      <c r="P127" s="26" t="n"/>
      <c r="Q127" s="26" t="inlineStr"/>
      <c r="R127" s="26" t="n"/>
      <c r="S127" s="26" t="inlineStr"/>
      <c r="T127" s="26" t="inlineStr">
        <is>
          <t>Marshall Land Systems Limited</t>
        </is>
      </c>
      <c r="U127" s="29" t="inlineStr">
        <is>
          <t>https://ted.europa.eu/en/notice/-/detail/61174-2019</t>
        </is>
      </c>
      <c r="V127" s="26" t="inlineStr">
        <is>
          <t>Procurement of special-purpose mobile containers by Netherlands Ministry of Defence, awarded to Marshall Land Systems Limited.</t>
        </is>
      </c>
      <c r="W127" s="26" t="inlineStr">
        <is>
          <t>TED</t>
        </is>
      </c>
      <c r="X127" s="26" t="inlineStr"/>
    </row>
    <row r="128" ht="45" customHeight="1">
      <c r="B128" s="26" t="inlineStr">
        <is>
          <t>377722-2023</t>
        </is>
      </c>
      <c r="C128" s="26" t="inlineStr">
        <is>
          <t>Special-purpose mobile containers</t>
        </is>
      </c>
      <c r="D128" s="26" t="inlineStr">
        <is>
          <t>Hungary</t>
        </is>
      </c>
      <c r="E128" s="26" t="inlineStr">
        <is>
          <t>Védelmi Beszerzési Ügynökség Zártkörűen Működő Részvénytársaság</t>
        </is>
      </c>
      <c r="F128" s="27" t="n">
        <v>45099</v>
      </c>
      <c r="G128" s="26" t="inlineStr">
        <is>
          <t>Awarded</t>
        </is>
      </c>
      <c r="H128" s="28" t="n">
        <v>1110700000</v>
      </c>
      <c r="I128" s="26" t="inlineStr">
        <is>
          <t>HUF</t>
        </is>
      </c>
      <c r="J128" s="28" t="n">
        <v>2776750</v>
      </c>
      <c r="K128" s="26" t="inlineStr">
        <is>
          <t>Special-purpose mobile container</t>
        </is>
      </c>
      <c r="L128" s="26" t="inlineStr">
        <is>
          <t>Special Purpose</t>
        </is>
      </c>
      <c r="M128" s="26" t="n"/>
      <c r="N128" s="26" t="inlineStr"/>
      <c r="O128" s="26" t="inlineStr"/>
      <c r="P128" s="26" t="n"/>
      <c r="Q128" s="26" t="inlineStr"/>
      <c r="R128" s="26" t="n"/>
      <c r="S128" s="26" t="inlineStr"/>
      <c r="T128" s="26" t="inlineStr">
        <is>
          <t>Gamma Műszaki Zártkörű Részvénytársaság</t>
        </is>
      </c>
      <c r="U128" s="29" t="inlineStr">
        <is>
          <t>https://ted.europa.eu/en/notice/-/detail/377722-2023</t>
        </is>
      </c>
      <c r="V128" s="26" t="inlineStr">
        <is>
          <t>Procurement of special-purpose mobile containers by Hungarian Defence Procurement Agency</t>
        </is>
      </c>
      <c r="W128" s="26" t="inlineStr">
        <is>
          <t>TED</t>
        </is>
      </c>
      <c r="X128" s="26" t="inlineStr"/>
    </row>
    <row r="129" ht="45" customHeight="1">
      <c r="B129" s="26" t="inlineStr">
        <is>
          <t>272850-2020</t>
        </is>
      </c>
      <c r="C129" s="26" t="inlineStr">
        <is>
          <t>Special-purpose mobile containers</t>
        </is>
      </c>
      <c r="D129" s="26" t="inlineStr">
        <is>
          <t>Luxembourg</t>
        </is>
      </c>
      <c r="E129" s="26" t="inlineStr">
        <is>
          <t>MAEE — Direction de la Défense</t>
        </is>
      </c>
      <c r="F129" s="27" t="n">
        <v>43993</v>
      </c>
      <c r="G129" s="26" t="inlineStr">
        <is>
          <t>Awarded</t>
        </is>
      </c>
      <c r="H129" s="28" t="n">
        <v>2952495</v>
      </c>
      <c r="I129" s="26" t="inlineStr">
        <is>
          <t>EUR</t>
        </is>
      </c>
      <c r="J129" s="28" t="n">
        <v>2952495</v>
      </c>
      <c r="K129" s="26" t="inlineStr">
        <is>
          <t>Special-purpose mobile container system</t>
        </is>
      </c>
      <c r="L129" s="26" t="inlineStr">
        <is>
          <t>Special Purpose</t>
        </is>
      </c>
      <c r="M129" s="26" t="n"/>
      <c r="N129" s="26" t="inlineStr"/>
      <c r="O129" s="26" t="inlineStr"/>
      <c r="P129" s="26" t="n"/>
      <c r="Q129" s="26" t="inlineStr"/>
      <c r="R129" s="26" t="n"/>
      <c r="S129" s="26" t="inlineStr"/>
      <c r="T129" s="26" t="inlineStr">
        <is>
          <t>Schall GmbH &amp; Co. KG</t>
        </is>
      </c>
      <c r="U129" s="29" t="inlineStr">
        <is>
          <t>https://ted.europa.eu/en/notice/-/detail/272850-2020</t>
        </is>
      </c>
      <c r="V129" s="26" t="inlineStr">
        <is>
          <t>Procurement of special-purpose mobile containers by Luxembourg Defence Directorate. CPV 34221000 indicates military shelter/container systems.</t>
        </is>
      </c>
      <c r="W129" s="26" t="inlineStr">
        <is>
          <t>TED</t>
        </is>
      </c>
      <c r="X129" s="26" t="inlineStr"/>
    </row>
    <row r="130" ht="45" customHeight="1">
      <c r="B130" s="26" t="inlineStr">
        <is>
          <t>726196-2024</t>
        </is>
      </c>
      <c r="C130" s="26" t="inlineStr">
        <is>
          <t>Pontoon and M-Boat Trailers for ALU Ferry System</t>
        </is>
      </c>
      <c r="D130" s="26" t="inlineStr">
        <is>
          <t>Austria</t>
        </is>
      </c>
      <c r="E130" s="26" t="inlineStr">
        <is>
          <t>REPUBLIK ÖSTERREICH vertreten durch die Bundesministerin für Landesverteidigung</t>
        </is>
      </c>
      <c r="F130" s="27" t="n">
        <v>45624</v>
      </c>
      <c r="G130" s="26" t="inlineStr">
        <is>
          <t>Awarded</t>
        </is>
      </c>
      <c r="H130" s="28" t="n">
        <v>3454420</v>
      </c>
      <c r="I130" s="26" t="inlineStr">
        <is>
          <t>EUR</t>
        </is>
      </c>
      <c r="J130" s="28" t="n">
        <v>3454420</v>
      </c>
      <c r="K130" s="26" t="inlineStr">
        <is>
          <t>Pontoon trailer for ALU ferry system</t>
        </is>
      </c>
      <c r="L130" s="26" t="inlineStr">
        <is>
          <t>Special Purpose</t>
        </is>
      </c>
      <c r="M130" s="26" t="n"/>
      <c r="N130" s="26" t="inlineStr"/>
      <c r="O130" s="26" t="inlineStr"/>
      <c r="P130" s="26" t="n"/>
      <c r="Q130" s="26" t="inlineStr"/>
      <c r="R130" s="26" t="n"/>
      <c r="S130" s="26" t="inlineStr"/>
      <c r="T130" s="26" t="inlineStr">
        <is>
          <t>Ressenig</t>
        </is>
      </c>
      <c r="U130" s="29" t="inlineStr">
        <is>
          <t>https://ted.europa.eu/en/notice/-/detail/726196-2024</t>
        </is>
      </c>
      <c r="V130" s="26" t="inlineStr">
        <is>
          <t>Procurement of pontoon trailers for the ALU ferry system used by Austrian Armed Forces for military bridge and ferry operations</t>
        </is>
      </c>
      <c r="W130" s="26" t="inlineStr">
        <is>
          <t>TED</t>
        </is>
      </c>
      <c r="X130" s="26" t="inlineStr"/>
    </row>
    <row r="131" ht="45" customHeight="1">
      <c r="B131" s="26" t="inlineStr">
        <is>
          <t>433505-2022</t>
        </is>
      </c>
      <c r="C131" s="26" t="inlineStr">
        <is>
          <t>Special-purpose mobile containers</t>
        </is>
      </c>
      <c r="D131" s="26" t="inlineStr">
        <is>
          <t>Hungary</t>
        </is>
      </c>
      <c r="E131" s="26" t="inlineStr">
        <is>
          <t>Védelmi Beszerzési Ügynökség Zártkörűen Működő Részvénytársaság</t>
        </is>
      </c>
      <c r="F131" s="27" t="n">
        <v>44781</v>
      </c>
      <c r="G131" s="26" t="inlineStr">
        <is>
          <t>Closed</t>
        </is>
      </c>
      <c r="H131" s="26" t="n"/>
      <c r="I131" s="26" t="inlineStr"/>
      <c r="J131" s="26" t="n"/>
      <c r="K131" s="26" t="inlineStr">
        <is>
          <t>Special-purpose mobile container</t>
        </is>
      </c>
      <c r="L131" s="26" t="inlineStr">
        <is>
          <t>Special Purpose</t>
        </is>
      </c>
      <c r="M131" s="26" t="n"/>
      <c r="N131" s="26" t="inlineStr"/>
      <c r="O131" s="26" t="inlineStr"/>
      <c r="P131" s="26" t="n"/>
      <c r="Q131" s="26" t="inlineStr"/>
      <c r="R131" s="26" t="n"/>
      <c r="S131" s="26" t="inlineStr"/>
      <c r="T131" s="26" t="inlineStr"/>
      <c r="U131" s="29" t="inlineStr">
        <is>
          <t>https://ted.europa.eu/en/notice/-/detail/433505-2022</t>
        </is>
      </c>
      <c r="V131" s="26" t="inlineStr">
        <is>
          <t>Procurement of special-purpose mobile containers by Hungarian Defence Procurement Agency</t>
        </is>
      </c>
      <c r="W131" s="26" t="inlineStr">
        <is>
          <t>TED</t>
        </is>
      </c>
      <c r="X131" s="26" t="inlineStr"/>
    </row>
    <row r="132" ht="45" customHeight="1">
      <c r="B132" s="26" t="inlineStr">
        <is>
          <t>290520-2018</t>
        </is>
      </c>
      <c r="C132" s="26" t="inlineStr">
        <is>
          <t>Special-purpose mobile containers</t>
        </is>
      </c>
      <c r="D132" s="26" t="inlineStr">
        <is>
          <t>Czech Republic</t>
        </is>
      </c>
      <c r="E132" s="26" t="inlineStr">
        <is>
          <t>Česká republika - Ministerstvo obrany</t>
        </is>
      </c>
      <c r="F132" s="27" t="n">
        <v>43286</v>
      </c>
      <c r="G132" s="26" t="inlineStr">
        <is>
          <t>Closed</t>
        </is>
      </c>
      <c r="H132" s="26" t="n"/>
      <c r="I132" s="26" t="inlineStr"/>
      <c r="J132" s="26" t="n"/>
      <c r="K132" s="26" t="inlineStr">
        <is>
          <t>Special-purpose mobile container system</t>
        </is>
      </c>
      <c r="L132" s="26" t="inlineStr">
        <is>
          <t>Special Purpose</t>
        </is>
      </c>
      <c r="M132" s="26" t="n"/>
      <c r="N132" s="26" t="inlineStr"/>
      <c r="O132" s="26" t="inlineStr"/>
      <c r="P132" s="26" t="n"/>
      <c r="Q132" s="26" t="inlineStr"/>
      <c r="R132" s="26" t="n"/>
      <c r="S132" s="26" t="inlineStr"/>
      <c r="T132" s="26" t="inlineStr"/>
      <c r="U132" s="29" t="inlineStr">
        <is>
          <t>https://ted.europa.eu/en/notice/-/detail/290520-2018</t>
        </is>
      </c>
      <c r="V132" s="26" t="inlineStr">
        <is>
          <t>Procurement of special-purpose mobile containers by Czech Ministry of Defence</t>
        </is>
      </c>
      <c r="W132" s="26" t="inlineStr">
        <is>
          <t>TED</t>
        </is>
      </c>
      <c r="X132" s="26" t="inlineStr"/>
    </row>
    <row r="133" ht="45" customHeight="1">
      <c r="B133" s="26" t="inlineStr">
        <is>
          <t>202710-2019</t>
        </is>
      </c>
      <c r="C133" s="26" t="inlineStr">
        <is>
          <t>Special-purpose mobile containers</t>
        </is>
      </c>
      <c r="D133" s="26" t="inlineStr">
        <is>
          <t>Czech Republic</t>
        </is>
      </c>
      <c r="E133" s="26" t="inlineStr">
        <is>
          <t>Vojenský technický ústav, s.p</t>
        </is>
      </c>
      <c r="F133" s="27" t="n">
        <v>43585</v>
      </c>
      <c r="G133" s="26" t="inlineStr">
        <is>
          <t>Awarded</t>
        </is>
      </c>
      <c r="H133" s="28" t="n">
        <v>1897301</v>
      </c>
      <c r="I133" s="26" t="inlineStr">
        <is>
          <t>CZK</t>
        </is>
      </c>
      <c r="J133" s="28" t="n">
        <v>75892</v>
      </c>
      <c r="K133" s="26" t="inlineStr">
        <is>
          <t>Special-purpose mobile container</t>
        </is>
      </c>
      <c r="L133" s="26" t="inlineStr">
        <is>
          <t>Special Purpose</t>
        </is>
      </c>
      <c r="M133" s="26" t="n"/>
      <c r="N133" s="26" t="inlineStr"/>
      <c r="O133" s="26" t="inlineStr"/>
      <c r="P133" s="26" t="n"/>
      <c r="Q133" s="26" t="inlineStr"/>
      <c r="R133" s="26" t="n"/>
      <c r="S133" s="26" t="inlineStr"/>
      <c r="T133" s="26" t="inlineStr">
        <is>
          <t>Akermann Electronic Praha, spol. s.r.o.</t>
        </is>
      </c>
      <c r="U133" s="29" t="inlineStr">
        <is>
          <t>https://ted.europa.eu/en/notice/-/detail/202710-2019</t>
        </is>
      </c>
      <c r="V133" s="26" t="inlineStr">
        <is>
          <t>Procurement of special-purpose mobile containers by Czech military technical institute</t>
        </is>
      </c>
      <c r="W133" s="26" t="inlineStr">
        <is>
          <t>TED</t>
        </is>
      </c>
      <c r="X133" s="26" t="inlineStr"/>
    </row>
    <row r="134" ht="45" customHeight="1">
      <c r="B134" s="26" t="inlineStr">
        <is>
          <t>126999-2021</t>
        </is>
      </c>
      <c r="C134" s="26" t="inlineStr">
        <is>
          <t>Special-purpose mobile containers</t>
        </is>
      </c>
      <c r="D134" s="26" t="inlineStr">
        <is>
          <t>Bulgaria</t>
        </is>
      </c>
      <c r="E134" s="26" t="inlineStr">
        <is>
          <t>Министерство на отбраната</t>
        </is>
      </c>
      <c r="F134" s="27" t="n">
        <v>44267</v>
      </c>
      <c r="G134" s="26" t="inlineStr">
        <is>
          <t>Closed</t>
        </is>
      </c>
      <c r="H134" s="28" t="n">
        <v>8333333.33</v>
      </c>
      <c r="I134" s="26" t="inlineStr">
        <is>
          <t>BGN
BGN</t>
        </is>
      </c>
      <c r="J134" s="26" t="n"/>
      <c r="K134" s="26" t="inlineStr">
        <is>
          <t>Special-purpose mobile container</t>
        </is>
      </c>
      <c r="L134" s="26" t="inlineStr">
        <is>
          <t>Special Purpose</t>
        </is>
      </c>
      <c r="M134" s="26" t="n"/>
      <c r="N134" s="26" t="inlineStr"/>
      <c r="O134" s="26" t="inlineStr"/>
      <c r="P134" s="26" t="n"/>
      <c r="Q134" s="26" t="inlineStr"/>
      <c r="R134" s="26" t="n"/>
      <c r="S134" s="26" t="inlineStr">
        <is>
          <t>24 months</t>
        </is>
      </c>
      <c r="T134" s="26" t="inlineStr"/>
      <c r="U134" s="29" t="inlineStr">
        <is>
          <t>https://ted.europa.eu/en/notice/-/detail/126999-2021</t>
        </is>
      </c>
      <c r="V134" s="26" t="inlineStr">
        <is>
          <t>Procurement of special-purpose mobile containers by Bulgarian Ministry of Defence</t>
        </is>
      </c>
      <c r="W134" s="26" t="inlineStr">
        <is>
          <t>TED</t>
        </is>
      </c>
      <c r="X134" s="26" t="inlineStr"/>
    </row>
    <row r="135" ht="45" customHeight="1">
      <c r="B135" s="26" t="inlineStr">
        <is>
          <t>568054-2023</t>
        </is>
      </c>
      <c r="C135" s="26" t="inlineStr">
        <is>
          <t>Belgium - Special-purpose mobile containers - Acquisition of equipped and deployable containers (T-SAPF) for F-35A</t>
        </is>
      </c>
      <c r="D135" s="26" t="inlineStr">
        <is>
          <t>Belgium</t>
        </is>
      </c>
      <c r="E135" s="26" t="inlineStr">
        <is>
          <t>Ministère de la Défense</t>
        </is>
      </c>
      <c r="F135" s="27" t="n">
        <v>45189</v>
      </c>
      <c r="G135" s="26" t="inlineStr">
        <is>
          <t>Closed</t>
        </is>
      </c>
      <c r="H135" s="26" t="n"/>
      <c r="I135" s="26" t="inlineStr"/>
      <c r="J135" s="26" t="n"/>
      <c r="K135" s="26" t="inlineStr">
        <is>
          <t>Tactical Special Access Program Facility container system</t>
        </is>
      </c>
      <c r="L135" s="26" t="inlineStr">
        <is>
          <t>Special Purpose</t>
        </is>
      </c>
      <c r="M135" s="26" t="n"/>
      <c r="N135" s="26" t="inlineStr"/>
      <c r="O135" s="26" t="inlineStr"/>
      <c r="P135" s="26" t="n"/>
      <c r="Q135" s="26" t="inlineStr"/>
      <c r="R135" s="26" t="n"/>
      <c r="S135" s="26" t="inlineStr"/>
      <c r="T135" s="26" t="inlineStr"/>
      <c r="U135" s="29" t="inlineStr">
        <is>
          <t>https://ted.europa.eu/en/notice/-/detail/568054-2023</t>
        </is>
      </c>
      <c r="V135" s="26" t="inlineStr">
        <is>
          <t>Acquisition of equipped and deployable containers (Tactical Special Access Program Facility, T-SAPF) for F-35A capability</t>
        </is>
      </c>
      <c r="W135" s="26" t="inlineStr">
        <is>
          <t>TED</t>
        </is>
      </c>
      <c r="X135" s="26" t="inlineStr"/>
    </row>
    <row r="136" ht="45" customHeight="1">
      <c r="B136" s="26" t="inlineStr">
        <is>
          <t>303464-2022</t>
        </is>
      </c>
      <c r="C136" s="26" t="inlineStr">
        <is>
          <t>Special-purpose mobile containers</t>
        </is>
      </c>
      <c r="D136" s="26" t="inlineStr">
        <is>
          <t>Bulgaria</t>
        </is>
      </c>
      <c r="E136" s="26" t="inlineStr">
        <is>
          <t>Министерство на отбраната</t>
        </is>
      </c>
      <c r="F136" s="27" t="n">
        <v>44715</v>
      </c>
      <c r="G136" s="26" t="inlineStr">
        <is>
          <t>Closed</t>
        </is>
      </c>
      <c r="H136" s="28" t="n">
        <v>8333333.33</v>
      </c>
      <c r="I136" s="26" t="inlineStr">
        <is>
          <t>BGN</t>
        </is>
      </c>
      <c r="J136" s="28" t="n">
        <v>4258333</v>
      </c>
      <c r="K136" s="26" t="inlineStr">
        <is>
          <t>Special-purpose mobile container</t>
        </is>
      </c>
      <c r="L136" s="26" t="inlineStr">
        <is>
          <t>Special Purpose</t>
        </is>
      </c>
      <c r="M136" s="26" t="n"/>
      <c r="N136" s="26" t="inlineStr"/>
      <c r="O136" s="26" t="inlineStr"/>
      <c r="P136" s="26" t="n"/>
      <c r="Q136" s="26" t="inlineStr"/>
      <c r="R136" s="26" t="n"/>
      <c r="S136" s="26" t="inlineStr">
        <is>
          <t>24 months</t>
        </is>
      </c>
      <c r="T136" s="26" t="inlineStr"/>
      <c r="U136" s="29" t="inlineStr">
        <is>
          <t>https://ted.europa.eu/en/notice/-/detail/303464-2022</t>
        </is>
      </c>
      <c r="V136" s="26" t="inlineStr">
        <is>
          <t>Procurement of special-purpose mobile containers by Bulgarian Ministry of Defence</t>
        </is>
      </c>
      <c r="W136" s="26" t="inlineStr">
        <is>
          <t>TED</t>
        </is>
      </c>
      <c r="X136" s="26" t="inlineStr"/>
    </row>
    <row r="137" ht="45" customHeight="1">
      <c r="B137" s="26" t="inlineStr">
        <is>
          <t>648482-2021</t>
        </is>
      </c>
      <c r="C137" s="26" t="inlineStr">
        <is>
          <t>Special-purpose mobile containers</t>
        </is>
      </c>
      <c r="D137" s="26" t="inlineStr">
        <is>
          <t>Italy</t>
        </is>
      </c>
      <c r="E137" s="26" t="inlineStr">
        <is>
          <t>COMANDO FORZE OPERATIVE NORD DIREZIONE D'INTENDENZA</t>
        </is>
      </c>
      <c r="F137" s="27" t="n">
        <v>44547</v>
      </c>
      <c r="G137" s="26" t="inlineStr">
        <is>
          <t>Awarded</t>
        </is>
      </c>
      <c r="H137" s="28" t="n">
        <v>1344019.4</v>
      </c>
      <c r="I137" s="26" t="inlineStr">
        <is>
          <t>EUR</t>
        </is>
      </c>
      <c r="J137" s="28" t="n">
        <v>1344019</v>
      </c>
      <c r="K137" s="26" t="inlineStr">
        <is>
          <t>Special-purpose mobile container system</t>
        </is>
      </c>
      <c r="L137" s="26" t="inlineStr">
        <is>
          <t>Special Purpose</t>
        </is>
      </c>
      <c r="M137" s="26" t="n"/>
      <c r="N137" s="26" t="inlineStr"/>
      <c r="O137" s="26" t="inlineStr"/>
      <c r="P137" s="26" t="n"/>
      <c r="Q137" s="26" t="inlineStr"/>
      <c r="R137" s="26" t="n"/>
      <c r="S137" s="26" t="inlineStr"/>
      <c r="T137" s="26" t="inlineStr">
        <is>
          <t>OSIM SRL, LANCO SRL - TELEGI SRL (RTI COSTITUENDO)</t>
        </is>
      </c>
      <c r="U137" s="29" t="inlineStr">
        <is>
          <t>https://ted.europa.eu/en/notice/-/detail/648482-2021</t>
        </is>
      </c>
      <c r="V137" s="26" t="inlineStr">
        <is>
          <t>Procurement of special-purpose mobile containers by Italian military forces command</t>
        </is>
      </c>
      <c r="W137" s="26" t="inlineStr">
        <is>
          <t>TED</t>
        </is>
      </c>
      <c r="X137" s="26" t="inlineStr"/>
    </row>
    <row r="138" ht="45" customHeight="1">
      <c r="B138" s="26" t="inlineStr">
        <is>
          <t>300549-2017</t>
        </is>
      </c>
      <c r="C138" s="26" t="inlineStr">
        <is>
          <t>Special-purpose mobile containers</t>
        </is>
      </c>
      <c r="D138" s="26" t="inlineStr">
        <is>
          <t>France</t>
        </is>
      </c>
      <c r="E138" s="26" t="inlineStr">
        <is>
          <t>Mindef/EMA/SCA/Cescof</t>
        </is>
      </c>
      <c r="F138" s="27" t="n">
        <v>42948</v>
      </c>
      <c r="G138" s="26" t="inlineStr">
        <is>
          <t>Closed</t>
        </is>
      </c>
      <c r="H138" s="28" t="n">
        <v>10833333</v>
      </c>
      <c r="I138" s="26" t="inlineStr">
        <is>
          <t>EUR</t>
        </is>
      </c>
      <c r="J138" s="28" t="n">
        <v>10833333</v>
      </c>
      <c r="K138" s="26" t="inlineStr">
        <is>
          <t>Special-purpose mobile container</t>
        </is>
      </c>
      <c r="L138" s="26" t="inlineStr">
        <is>
          <t>Special Purpose</t>
        </is>
      </c>
      <c r="M138" s="26" t="n"/>
      <c r="N138" s="26" t="inlineStr"/>
      <c r="O138" s="26" t="inlineStr"/>
      <c r="P138" s="26" t="n"/>
      <c r="Q138" s="26" t="inlineStr"/>
      <c r="R138" s="26" t="n"/>
      <c r="S138" s="26" t="inlineStr">
        <is>
          <t>84 months</t>
        </is>
      </c>
      <c r="T138" s="26" t="inlineStr"/>
      <c r="U138" s="29" t="inlineStr">
        <is>
          <t>https://ted.europa.eu/en/notice/-/detail/300549-2017</t>
        </is>
      </c>
      <c r="V138" s="26" t="inlineStr">
        <is>
          <t>Procurement of special-purpose mobile containers by French Ministry of Defence</t>
        </is>
      </c>
      <c r="W138" s="26" t="inlineStr">
        <is>
          <t>TED</t>
        </is>
      </c>
      <c r="X138" s="26" t="inlineStr"/>
    </row>
    <row r="139" ht="45" customHeight="1">
      <c r="B139" s="26" t="inlineStr">
        <is>
          <t>736943-2024</t>
        </is>
      </c>
      <c r="C139" s="26" t="inlineStr">
        <is>
          <t>Poland - Mobile Doppler Radar Tracking System on Trailer</t>
        </is>
      </c>
      <c r="D139" s="26" t="inlineStr">
        <is>
          <t>Poland</t>
        </is>
      </c>
      <c r="E139" s="26" t="inlineStr">
        <is>
          <t>Wojskowy Instytut Techniczny Uzbrojenia</t>
        </is>
      </c>
      <c r="F139" s="27" t="n">
        <v>45629</v>
      </c>
      <c r="G139" s="26" t="inlineStr">
        <is>
          <t>Awarded</t>
        </is>
      </c>
      <c r="H139" s="28" t="n">
        <v>452307.2</v>
      </c>
      <c r="I139" s="26" t="inlineStr">
        <is>
          <t>EUR</t>
        </is>
      </c>
      <c r="J139" s="28" t="n">
        <v>452307</v>
      </c>
      <c r="K139" s="26" t="inlineStr">
        <is>
          <t>3.5t automotive trailer with integrated radar system</t>
        </is>
      </c>
      <c r="L139" s="26" t="inlineStr">
        <is>
          <t>Special Purpose</t>
        </is>
      </c>
      <c r="M139" s="28" t="n">
        <v>1</v>
      </c>
      <c r="N139" s="26" t="inlineStr"/>
      <c r="O139" s="26" t="inlineStr"/>
      <c r="P139" s="26" t="n"/>
      <c r="Q139" s="26" t="inlineStr"/>
      <c r="R139" s="26" t="n"/>
      <c r="S139" s="26" t="inlineStr">
        <is>
          <t>24 months</t>
        </is>
      </c>
      <c r="T139" s="26" t="inlineStr">
        <is>
          <t>PROYECTOS INTEGRALES DE BALIZAMIENTO, S.L</t>
        </is>
      </c>
      <c r="U139" s="29" t="inlineStr">
        <is>
          <t>https://ted.europa.eu/en/notice/-/detail/736943-2024</t>
        </is>
      </c>
      <c r="V139" s="26" t="inlineStr">
        <is>
          <t>Supply of mobile Doppler radar tracking measurement system with main components integrated on 3.5t automotive trailer, capable of registering objects like 155mm artillery shells to minimum distance of 50km.</t>
        </is>
      </c>
      <c r="W139" s="26" t="inlineStr">
        <is>
          <t>TED</t>
        </is>
      </c>
      <c r="X139" s="26" t="inlineStr"/>
    </row>
    <row r="140" ht="45" customHeight="1">
      <c r="B140" s="26" t="inlineStr">
        <is>
          <t>698416-2024</t>
        </is>
      </c>
      <c r="C140" s="26" t="inlineStr">
        <is>
          <t>Belgium – Field kitchens – Purchase of field kitchens, including lifetime maintenance</t>
        </is>
      </c>
      <c r="D140" s="26" t="inlineStr">
        <is>
          <t>Belgium</t>
        </is>
      </c>
      <c r="E140" s="26" t="inlineStr">
        <is>
          <t>Ministère de la Défense</t>
        </is>
      </c>
      <c r="F140" s="27" t="n">
        <v>45611</v>
      </c>
      <c r="G140" s="26" t="inlineStr">
        <is>
          <t>Closed</t>
        </is>
      </c>
      <c r="H140" s="28" t="n">
        <v>10892493.79</v>
      </c>
      <c r="I140" s="26" t="inlineStr">
        <is>
          <t>EUR</t>
        </is>
      </c>
      <c r="J140" s="28" t="n">
        <v>10892494</v>
      </c>
      <c r="K140" s="26" t="inlineStr">
        <is>
          <t>Field kitchen trailer</t>
        </is>
      </c>
      <c r="L140" s="26" t="inlineStr">
        <is>
          <t>Field Kitchen</t>
        </is>
      </c>
      <c r="M140" s="26" t="n"/>
      <c r="N140" s="26" t="inlineStr"/>
      <c r="O140" s="26" t="inlineStr"/>
      <c r="P140" s="26" t="n"/>
      <c r="Q140" s="26" t="inlineStr">
        <is>
          <t>Lifetime maintenance services</t>
        </is>
      </c>
      <c r="R140" s="26" t="n"/>
      <c r="S140" s="26" t="inlineStr"/>
      <c r="T140" s="26" t="inlineStr"/>
      <c r="U140" s="29" t="inlineStr">
        <is>
          <t>https://ted.europa.eu/en/notice/-/detail/698416-2024</t>
        </is>
      </c>
      <c r="V140" s="26" t="inlineStr">
        <is>
          <t>Purchase of field kitchens, including maintenance for the lifetime of the equipment</t>
        </is>
      </c>
      <c r="W140" s="26" t="inlineStr">
        <is>
          <t>TED</t>
        </is>
      </c>
      <c r="X140" s="26" t="inlineStr"/>
    </row>
    <row r="141" ht="45" customHeight="1">
      <c r="B141" s="26" t="inlineStr">
        <is>
          <t>288875-2024</t>
        </is>
      </c>
      <c r="C141" s="26" t="inlineStr">
        <is>
          <t>Special-purpose mobile containers - CIS deployable shelterized assets for weapon systems maintenance</t>
        </is>
      </c>
      <c r="D141" s="26" t="inlineStr">
        <is>
          <t>Italy</t>
        </is>
      </c>
      <c r="E141" s="26" t="inlineStr">
        <is>
          <t>Aeronautica Militare 4ª Brigata Telecomunicazioni Sistemi D.A./A.V. Servizio</t>
        </is>
      </c>
      <c r="F141" s="27" t="n">
        <v>45428</v>
      </c>
      <c r="G141" s="26" t="inlineStr">
        <is>
          <t>Awarded</t>
        </is>
      </c>
      <c r="H141" s="28" t="n">
        <v>595540</v>
      </c>
      <c r="I141" s="26" t="inlineStr">
        <is>
          <t>EUR</t>
        </is>
      </c>
      <c r="J141" s="28" t="n">
        <v>595540</v>
      </c>
      <c r="K141" s="26" t="inlineStr">
        <is>
          <t>CIS deployable shelter system</t>
        </is>
      </c>
      <c r="L141" s="26" t="inlineStr">
        <is>
          <t>Mission Module</t>
        </is>
      </c>
      <c r="M141" s="26" t="n"/>
      <c r="N141" s="26" t="inlineStr"/>
      <c r="O141" s="26" t="inlineStr"/>
      <c r="P141" s="26" t="n"/>
      <c r="Q141" s="26" t="inlineStr"/>
      <c r="R141" s="26" t="n"/>
      <c r="S141" s="26" t="inlineStr">
        <is>
          <t>300 Days</t>
        </is>
      </c>
      <c r="T141" s="26" t="inlineStr">
        <is>
          <t>TELEGI s.r.l.</t>
        </is>
      </c>
      <c r="U141" s="29" t="inlineStr">
        <is>
          <t>https://ted.europa.eu/en/notice/-/detail/288875-2024</t>
        </is>
      </c>
      <c r="V141" s="26" t="inlineStr">
        <is>
          <t>Acquisition of shelterized CIS (Communication and Information Systems) deployable assets for maintaining weapon systems inventory. Mobile containerized communication systems for Italian Air Force telecommunications brigade.</t>
        </is>
      </c>
      <c r="W141" s="26" t="inlineStr">
        <is>
          <t>TED</t>
        </is>
      </c>
      <c r="X141" s="26" t="inlineStr"/>
    </row>
    <row r="142" ht="45" customHeight="1">
      <c r="B142" s="26" t="inlineStr">
        <is>
          <t>285082-2017</t>
        </is>
      </c>
      <c r="C142" s="26" t="inlineStr">
        <is>
          <t>ISO 20' Container Transport Trailers</t>
        </is>
      </c>
      <c r="D142" s="26" t="inlineStr">
        <is>
          <t>Luxembourg</t>
        </is>
      </c>
      <c r="E142" s="26" t="inlineStr">
        <is>
          <t>Direction de la Défense</t>
        </is>
      </c>
      <c r="F142" s="27" t="n">
        <v>42938</v>
      </c>
      <c r="G142" s="26" t="inlineStr">
        <is>
          <t>Closed</t>
        </is>
      </c>
      <c r="H142" s="26" t="n"/>
      <c r="I142" s="26" t="inlineStr"/>
      <c r="J142" s="26" t="n"/>
      <c r="K142" s="26" t="inlineStr">
        <is>
          <t>ISO 20-foot container transport trailer</t>
        </is>
      </c>
      <c r="L142" s="26" t="inlineStr">
        <is>
          <t>Cargo Trailer</t>
        </is>
      </c>
      <c r="M142" s="28" t="n">
        <v>8</v>
      </c>
      <c r="N142" s="26" t="inlineStr"/>
      <c r="O142" s="26" t="inlineStr"/>
      <c r="P142" s="26" t="n"/>
      <c r="Q142" s="26" t="inlineStr"/>
      <c r="R142" s="26" t="n"/>
      <c r="S142" s="26" t="inlineStr">
        <is>
          <t>9 months</t>
        </is>
      </c>
      <c r="T142" s="26" t="inlineStr"/>
      <c r="U142" s="29" t="inlineStr">
        <is>
          <t>https://ted.europa.eu/en/notice/-/detail/285082-2017</t>
        </is>
      </c>
      <c r="V142" s="26" t="inlineStr">
        <is>
          <t>Acquisition of 8 trailers for transporting ISO 20-foot containers by Luxembourg Defence Direction</t>
        </is>
      </c>
      <c r="W142" s="26" t="inlineStr">
        <is>
          <t>TED</t>
        </is>
      </c>
      <c r="X142" s="26" t="inlineStr"/>
    </row>
    <row r="143" ht="45" customHeight="1">
      <c r="B143" s="26" t="inlineStr">
        <is>
          <t>93778-2018</t>
        </is>
      </c>
      <c r="C143" s="26" t="inlineStr">
        <is>
          <t>Luxembourg: Trailers</t>
        </is>
      </c>
      <c r="D143" s="26" t="inlineStr">
        <is>
          <t>Luxembourg</t>
        </is>
      </c>
      <c r="E143" s="26" t="inlineStr">
        <is>
          <t>MAEE-Direction de la Défense</t>
        </is>
      </c>
      <c r="F143" s="27" t="n">
        <v>43161</v>
      </c>
      <c r="G143" s="26" t="inlineStr">
        <is>
          <t>Closed</t>
        </is>
      </c>
      <c r="H143" s="26" t="n"/>
      <c r="I143" s="26" t="inlineStr"/>
      <c r="J143" s="26" t="n"/>
      <c r="K143" s="26" t="inlineStr">
        <is>
          <t>Military trailer (type not specified in notice)</t>
        </is>
      </c>
      <c r="L143" s="26" t="inlineStr">
        <is>
          <t>Other</t>
        </is>
      </c>
      <c r="M143" s="28" t="n">
        <v>4</v>
      </c>
      <c r="N143" s="26" t="inlineStr"/>
      <c r="O143" s="26" t="inlineStr"/>
      <c r="P143" s="26" t="n"/>
      <c r="Q143" s="26" t="inlineStr"/>
      <c r="R143" s="26" t="n"/>
      <c r="S143" s="26" t="inlineStr"/>
      <c r="T143" s="26" t="inlineStr"/>
      <c r="U143" s="29" t="inlineStr">
        <is>
          <t>https://ted.europa.eu/en/notice/-/detail/93778-2018</t>
        </is>
      </c>
      <c r="V143" s="26" t="inlineStr">
        <is>
          <t>Military trailer procurement by Luxembourg Defence Direction. Specific trailer type and requirements not detailed in available notice information.</t>
        </is>
      </c>
      <c r="W143" s="26" t="inlineStr">
        <is>
          <t>TED</t>
        </is>
      </c>
      <c r="X143" s="26" t="inlineStr"/>
    </row>
    <row r="144" ht="45" customHeight="1">
      <c r="B144" s="26" t="inlineStr">
        <is>
          <t>207385-2026</t>
        </is>
      </c>
      <c r="C144" s="26" t="inlineStr">
        <is>
          <t>Container mobiliser systems with hydraulic platforms</t>
        </is>
      </c>
      <c r="D144" s="26" t="inlineStr">
        <is>
          <t>Belgium</t>
        </is>
      </c>
      <c r="E144" s="26" t="inlineStr">
        <is>
          <t>Ministère de la Défense</t>
        </is>
      </c>
      <c r="F144" s="27" t="n">
        <v>46107</v>
      </c>
      <c r="G144" s="26" t="inlineStr">
        <is>
          <t>Open</t>
        </is>
      </c>
      <c r="H144" s="26" t="n"/>
      <c r="I144" s="26" t="inlineStr"/>
      <c r="J144" s="26" t="n"/>
      <c r="K144" s="26" t="inlineStr">
        <is>
          <t>Container mobiliser system with hydraulic platform</t>
        </is>
      </c>
      <c r="L144" s="26" t="inlineStr">
        <is>
          <t>Loading System</t>
        </is>
      </c>
      <c r="M144" s="28" t="n">
        <v>38</v>
      </c>
      <c r="N144" s="26" t="inlineStr"/>
      <c r="O144" s="26" t="inlineStr"/>
      <c r="P144" s="26" t="n"/>
      <c r="Q144" s="26" t="inlineStr">
        <is>
          <t>8 sets of spare parts</t>
        </is>
      </c>
      <c r="R144" s="28" t="n">
        <v>8</v>
      </c>
      <c r="S144" s="26" t="inlineStr"/>
      <c r="T144" s="26" t="inlineStr"/>
      <c r="U144" s="29" t="inlineStr">
        <is>
          <t>https://ted.europa.eu/en/notice/-/detail/207385-2026</t>
        </is>
      </c>
      <c r="V144" s="26" t="inlineStr">
        <is>
          <t>Procurement of 38 container mobiliser systems and 8 sets of spare parts</t>
        </is>
      </c>
      <c r="W144" s="26" t="inlineStr">
        <is>
          <t>TED</t>
        </is>
      </c>
      <c r="X144" s="26" t="inlineStr"/>
    </row>
    <row r="145" ht="45" customHeight="1">
      <c r="B145" s="26" t="inlineStr">
        <is>
          <t>62507-2024</t>
        </is>
      </c>
      <c r="C145" s="26" t="inlineStr">
        <is>
          <t>Special-purpose mobile containers</t>
        </is>
      </c>
      <c r="D145" s="26" t="inlineStr">
        <is>
          <t>Italy</t>
        </is>
      </c>
      <c r="E145" s="26" t="inlineStr">
        <is>
          <t>MINISTERO DELLA DIFESA - SGD-DNA/DIREZIONE DEGLI ARMAMENTI TERRESTRI</t>
        </is>
      </c>
      <c r="F145" s="27" t="n">
        <v>45322</v>
      </c>
      <c r="G145" s="26" t="inlineStr">
        <is>
          <t>Awarded</t>
        </is>
      </c>
      <c r="H145" s="28" t="n">
        <v>503755</v>
      </c>
      <c r="I145" s="26" t="inlineStr">
        <is>
          <t>EUR</t>
        </is>
      </c>
      <c r="J145" s="28" t="n">
        <v>503755</v>
      </c>
      <c r="K145" s="26" t="inlineStr">
        <is>
          <t>Special-purpose mobile container system</t>
        </is>
      </c>
      <c r="L145" s="26" t="inlineStr">
        <is>
          <t>Special Purpose</t>
        </is>
      </c>
      <c r="M145" s="26" t="n"/>
      <c r="N145" s="26" t="inlineStr"/>
      <c r="O145" s="26" t="inlineStr"/>
      <c r="P145" s="26" t="n"/>
      <c r="Q145" s="26" t="inlineStr"/>
      <c r="R145" s="26" t="n"/>
      <c r="S145" s="26" t="inlineStr"/>
      <c r="T145" s="26" t="inlineStr">
        <is>
          <t>M.L.SRL MILITARY LOGISTICS</t>
        </is>
      </c>
      <c r="U145" s="29" t="inlineStr">
        <is>
          <t>https://ted.europa.eu/en/notice/-/detail/62507-2024</t>
        </is>
      </c>
      <c r="V145" s="26" t="inlineStr">
        <is>
          <t>Procurement of special-purpose mobile containers for military use by Italian Ministry of Defence</t>
        </is>
      </c>
      <c r="W145" s="26" t="inlineStr">
        <is>
          <t>TED</t>
        </is>
      </c>
      <c r="X145" s="26" t="inlineStr"/>
    </row>
    <row r="146" ht="45" customHeight="1">
      <c r="B146" s="26" t="inlineStr">
        <is>
          <t>790962-2024</t>
        </is>
      </c>
      <c r="C146" s="26" t="inlineStr">
        <is>
          <t>Spain - Framework Agreement for Ammunition Platforms and Trailers Renewal</t>
        </is>
      </c>
      <c r="D146" s="26" t="inlineStr">
        <is>
          <t>Spain</t>
        </is>
      </c>
      <c r="E146" s="26" t="inlineStr">
        <is>
          <t>Dirección de Adquisiciones del Mando de Apoyo Logístico del Ejército del Aire y</t>
        </is>
      </c>
      <c r="F146" s="27" t="n">
        <v>45649</v>
      </c>
      <c r="G146" s="26" t="inlineStr">
        <is>
          <t>Awarded</t>
        </is>
      </c>
      <c r="H146" s="28" t="n">
        <v>35000</v>
      </c>
      <c r="I146" s="26" t="inlineStr">
        <is>
          <t>EUR</t>
        </is>
      </c>
      <c r="J146" s="28" t="n">
        <v>35000</v>
      </c>
      <c r="K146" s="26" t="inlineStr">
        <is>
          <t>3t ammunition transport trailer</t>
        </is>
      </c>
      <c r="L146" s="26" t="inlineStr">
        <is>
          <t>Ammunition Trailer</t>
        </is>
      </c>
      <c r="M146" s="26" t="n"/>
      <c r="N146" s="26" t="inlineStr"/>
      <c r="O146" s="26" t="inlineStr"/>
      <c r="P146" s="26" t="n"/>
      <c r="Q146" s="26" t="inlineStr"/>
      <c r="R146" s="26" t="n"/>
      <c r="S146" s="26" t="inlineStr"/>
      <c r="T146" s="26" t="inlineStr">
        <is>
          <t>Equipos Industriales de Manutención S.A.</t>
        </is>
      </c>
      <c r="U146" s="29" t="inlineStr">
        <is>
          <t>https://ted.europa.eu/en/notice/-/detail/790962-2024</t>
        </is>
      </c>
      <c r="V146" s="26" t="inlineStr">
        <is>
          <t>Acquisition of towed ammunition platforms for transporting aerial weapons: ammunition, bombs, missiles, etc. with load capacity up to 3,000 Kg.</t>
        </is>
      </c>
      <c r="W146" s="26" t="inlineStr">
        <is>
          <t>TED</t>
        </is>
      </c>
      <c r="X146" s="26" t="inlineStr"/>
    </row>
    <row r="147" ht="45" customHeight="1">
      <c r="B147" s="26" t="inlineStr">
        <is>
          <t>431698-2023</t>
        </is>
      </c>
      <c r="C147" s="26" t="inlineStr">
        <is>
          <t>Special-purpose mobile containers</t>
        </is>
      </c>
      <c r="D147" s="26" t="inlineStr">
        <is>
          <t>Italy</t>
        </is>
      </c>
      <c r="E147" s="26" t="inlineStr">
        <is>
          <t>MINISTERO DELLA DIFESA - SGD-DNA/DIREZIONE DEGLI ARMAMENTI TERRESTRI</t>
        </is>
      </c>
      <c r="F147" s="27" t="n">
        <v>45124</v>
      </c>
      <c r="G147" s="26" t="inlineStr">
        <is>
          <t>Closed</t>
        </is>
      </c>
      <c r="H147" s="26" t="n"/>
      <c r="I147" s="26" t="inlineStr"/>
      <c r="J147" s="26" t="n"/>
      <c r="K147" s="26" t="inlineStr">
        <is>
          <t>Special-purpose mobile container</t>
        </is>
      </c>
      <c r="L147" s="26" t="inlineStr">
        <is>
          <t>Special Purpose</t>
        </is>
      </c>
      <c r="M147" s="26" t="n"/>
      <c r="N147" s="26" t="inlineStr"/>
      <c r="O147" s="26" t="inlineStr"/>
      <c r="P147" s="26" t="n"/>
      <c r="Q147" s="26" t="inlineStr"/>
      <c r="R147" s="26" t="n"/>
      <c r="S147" s="26" t="inlineStr"/>
      <c r="T147" s="26" t="inlineStr"/>
      <c r="U147" s="29" t="inlineStr">
        <is>
          <t>https://ted.europa.eu/en/notice/-/detail/431698-2023</t>
        </is>
      </c>
      <c r="V147" s="26" t="inlineStr">
        <is>
          <t>Procurement of special-purpose mobile containers by Italian Ministry of Defence</t>
        </is>
      </c>
      <c r="W147" s="26" t="inlineStr">
        <is>
          <t>TED</t>
        </is>
      </c>
      <c r="X147" s="26" t="inlineStr"/>
    </row>
    <row r="148" ht="45" customHeight="1">
      <c r="B148" s="26" t="inlineStr">
        <is>
          <t>265191-2018</t>
        </is>
      </c>
      <c r="C148" s="26" t="inlineStr">
        <is>
          <t>Special-purpose mobile containers</t>
        </is>
      </c>
      <c r="D148" s="26" t="inlineStr">
        <is>
          <t>United Kingdom</t>
        </is>
      </c>
      <c r="E148" s="26" t="inlineStr">
        <is>
          <t>Ministry of Defence, DSTL, Defence Science and Technology Laboratory (DSTL)</t>
        </is>
      </c>
      <c r="F148" s="27" t="n">
        <v>43272</v>
      </c>
      <c r="G148" s="26" t="inlineStr">
        <is>
          <t>Closed</t>
        </is>
      </c>
      <c r="H148" s="28" t="n">
        <v>600000</v>
      </c>
      <c r="I148" s="26" t="inlineStr">
        <is>
          <t>GBP</t>
        </is>
      </c>
      <c r="J148" s="28" t="n">
        <v>702000</v>
      </c>
      <c r="K148" s="26" t="inlineStr">
        <is>
          <t>Special-purpose mobile container (type not specified in notice)</t>
        </is>
      </c>
      <c r="L148" s="26" t="inlineStr">
        <is>
          <t>Special Purpose</t>
        </is>
      </c>
      <c r="M148" s="26" t="n"/>
      <c r="N148" s="26" t="inlineStr"/>
      <c r="O148" s="26" t="inlineStr"/>
      <c r="P148" s="26" t="n"/>
      <c r="Q148" s="26" t="inlineStr"/>
      <c r="R148" s="26" t="n"/>
      <c r="S148" s="26" t="inlineStr"/>
      <c r="T148" s="26" t="inlineStr"/>
      <c r="U148" s="29" t="inlineStr">
        <is>
          <t>https://ted.europa.eu/en/notice/-/detail/265191-2018</t>
        </is>
      </c>
      <c r="V148" s="26" t="inlineStr">
        <is>
          <t>Procurement of special-purpose mobile containers by UK Ministry of Defence through Defence Science and Technology Laboratory.</t>
        </is>
      </c>
      <c r="W148" s="26" t="inlineStr">
        <is>
          <t>TED</t>
        </is>
      </c>
      <c r="X148" s="26" t="inlineStr"/>
    </row>
    <row r="149" ht="45" customHeight="1">
      <c r="B149" s="26" t="inlineStr">
        <is>
          <t>312763-2020</t>
        </is>
      </c>
      <c r="C149" s="26" t="inlineStr">
        <is>
          <t>Special-purpose mobile containers</t>
        </is>
      </c>
      <c r="D149" s="26" t="inlineStr">
        <is>
          <t>Romania</t>
        </is>
      </c>
      <c r="E149" s="26" t="inlineStr">
        <is>
          <t>Ministerul Apărării Naționale</t>
        </is>
      </c>
      <c r="F149" s="27" t="n">
        <v>44018</v>
      </c>
      <c r="G149" s="26" t="inlineStr">
        <is>
          <t>Closed</t>
        </is>
      </c>
      <c r="H149" s="28" t="n">
        <v>2280000</v>
      </c>
      <c r="I149" s="26" t="inlineStr">
        <is>
          <t>RON</t>
        </is>
      </c>
      <c r="J149" s="28" t="n">
        <v>458280</v>
      </c>
      <c r="K149" s="26" t="inlineStr">
        <is>
          <t>Special-purpose mobile container</t>
        </is>
      </c>
      <c r="L149" s="26" t="inlineStr">
        <is>
          <t>Special Purpose</t>
        </is>
      </c>
      <c r="M149" s="26" t="n"/>
      <c r="N149" s="26" t="inlineStr"/>
      <c r="O149" s="26" t="inlineStr"/>
      <c r="P149" s="26" t="n"/>
      <c r="Q149" s="26" t="inlineStr"/>
      <c r="R149" s="26" t="n"/>
      <c r="S149" s="26" t="inlineStr">
        <is>
          <t>12 months</t>
        </is>
      </c>
      <c r="T149" s="26" t="inlineStr"/>
      <c r="U149" s="29" t="inlineStr">
        <is>
          <t>https://ted.europa.eu/en/notice/-/detail/312763-2020</t>
        </is>
      </c>
      <c r="V149" s="26" t="inlineStr">
        <is>
          <t>Procurement of special-purpose mobile containers by Romanian Ministry of Defence for military applications</t>
        </is>
      </c>
      <c r="W149" s="26" t="inlineStr">
        <is>
          <t>TED</t>
        </is>
      </c>
      <c r="X149" s="26" t="inlineStr"/>
    </row>
    <row r="150" ht="45" customHeight="1">
      <c r="B150" s="26" t="inlineStr">
        <is>
          <t>444456-2025</t>
        </is>
      </c>
      <c r="C150" s="26" t="inlineStr">
        <is>
          <t>Slovenia - Special-purpose mobile containers - Toilet and kitchen mobile units and trailers</t>
        </is>
      </c>
      <c r="D150" s="26" t="inlineStr">
        <is>
          <t>Slovenia</t>
        </is>
      </c>
      <c r="E150" s="26" t="inlineStr">
        <is>
          <t>MINISTRSTVO ZA OBRAMBO</t>
        </is>
      </c>
      <c r="F150" s="27" t="n">
        <v>45846</v>
      </c>
      <c r="G150" s="26" t="inlineStr">
        <is>
          <t>Awarded</t>
        </is>
      </c>
      <c r="H150" s="28" t="n">
        <v>927910</v>
      </c>
      <c r="I150" s="26" t="inlineStr">
        <is>
          <t>EUR</t>
        </is>
      </c>
      <c r="J150" s="28" t="n">
        <v>927910</v>
      </c>
      <c r="K150" s="26" t="inlineStr">
        <is>
          <t>Sanitary/toilet trailer</t>
        </is>
      </c>
      <c r="L150" s="26" t="inlineStr">
        <is>
          <t>Special Purpose</t>
        </is>
      </c>
      <c r="M150" s="26" t="n"/>
      <c r="N150" s="26" t="inlineStr">
        <is>
          <t>Mobile kitchen trailer</t>
        </is>
      </c>
      <c r="O150" s="26" t="inlineStr">
        <is>
          <t>Field Kitchen</t>
        </is>
      </c>
      <c r="P150" s="26" t="n"/>
      <c r="Q150" s="26" t="inlineStr"/>
      <c r="R150" s="26" t="n"/>
      <c r="S150" s="26" t="inlineStr">
        <is>
          <t>90 Days</t>
        </is>
      </c>
      <c r="T150" s="26" t="inlineStr">
        <is>
          <t>IMEXA trgovina in storitve, d.o.o.
CONDUCTOR, tiskarstvo, proizvodnja, trgovina, promet in storitve, d.o.o.</t>
        </is>
      </c>
      <c r="U150" s="29" t="inlineStr">
        <is>
          <t>https://ted.europa.eu/en/notice/-/detail/444456-2025</t>
        </is>
      </c>
      <c r="V150" s="26" t="inlineStr">
        <is>
          <t>Procurement of sanitary trailers, toilet trailers, sanitary and toilet modules, and mobile kitchen modules for military use</t>
        </is>
      </c>
      <c r="W150" s="26" t="inlineStr">
        <is>
          <t>TED</t>
        </is>
      </c>
      <c r="X150" s="26" t="inlineStr"/>
    </row>
    <row r="151" ht="45" customHeight="1">
      <c r="B151" s="26" t="inlineStr">
        <is>
          <t>268303-2016</t>
        </is>
      </c>
      <c r="C151" s="26" t="inlineStr">
        <is>
          <t>Special-purpose mobile containers</t>
        </is>
      </c>
      <c r="D151" s="26" t="inlineStr">
        <is>
          <t>Denmark</t>
        </is>
      </c>
      <c r="E151" s="26" t="inlineStr">
        <is>
          <t>Danish Defence Acquisition and Logistics Organization (DALO)</t>
        </is>
      </c>
      <c r="F151" s="27" t="n">
        <v>42585</v>
      </c>
      <c r="G151" s="26" t="inlineStr">
        <is>
          <t>Closed</t>
        </is>
      </c>
      <c r="H151" s="26" t="n"/>
      <c r="I151" s="26" t="inlineStr"/>
      <c r="J151" s="26" t="n"/>
      <c r="K151" s="26" t="inlineStr">
        <is>
          <t>Special-purpose mobile container system</t>
        </is>
      </c>
      <c r="L151" s="26" t="inlineStr">
        <is>
          <t>Special Purpose</t>
        </is>
      </c>
      <c r="M151" s="26" t="n"/>
      <c r="N151" s="26" t="inlineStr"/>
      <c r="O151" s="26" t="inlineStr"/>
      <c r="P151" s="26" t="n"/>
      <c r="Q151" s="26" t="inlineStr"/>
      <c r="R151" s="26" t="n"/>
      <c r="S151" s="26" t="inlineStr"/>
      <c r="T151" s="26" t="inlineStr"/>
      <c r="U151" s="29" t="inlineStr">
        <is>
          <t>https://ted.europa.eu/en/notice/-/detail/268303-2016</t>
        </is>
      </c>
      <c r="V151" s="26" t="inlineStr">
        <is>
          <t>Procurement of special-purpose mobile containers by Danish Defence Acquisition and Logistics Organization</t>
        </is>
      </c>
      <c r="W151" s="26" t="inlineStr">
        <is>
          <t>TED</t>
        </is>
      </c>
      <c r="X151" s="26" t="inlineStr"/>
    </row>
    <row r="152" ht="45" customHeight="1">
      <c r="B152" s="26" t="inlineStr">
        <is>
          <t>283527-2018</t>
        </is>
      </c>
      <c r="C152" s="26" t="inlineStr">
        <is>
          <t>Special-purpose mobile containers</t>
        </is>
      </c>
      <c r="D152" s="26" t="inlineStr">
        <is>
          <t>Denmark</t>
        </is>
      </c>
      <c r="E152" s="26" t="inlineStr">
        <is>
          <t>Danish Defence Acquisition and Logistics Organization (DALO)</t>
        </is>
      </c>
      <c r="F152" s="27" t="n">
        <v>43281</v>
      </c>
      <c r="G152" s="26" t="inlineStr">
        <is>
          <t>Closed</t>
        </is>
      </c>
      <c r="H152" s="26" t="n"/>
      <c r="I152" s="26" t="inlineStr"/>
      <c r="J152" s="26" t="n"/>
      <c r="K152" s="26" t="inlineStr">
        <is>
          <t>Special-purpose mobile containers</t>
        </is>
      </c>
      <c r="L152" s="26" t="inlineStr">
        <is>
          <t>Special Purpose</t>
        </is>
      </c>
      <c r="M152" s="26" t="n"/>
      <c r="N152" s="26" t="inlineStr"/>
      <c r="O152" s="26" t="inlineStr"/>
      <c r="P152" s="26" t="n"/>
      <c r="Q152" s="26" t="inlineStr"/>
      <c r="R152" s="26" t="n"/>
      <c r="S152" s="26" t="inlineStr"/>
      <c r="T152" s="26" t="inlineStr"/>
      <c r="U152" s="29" t="inlineStr">
        <is>
          <t>https://ted.europa.eu/en/notice/-/detail/283527-2018</t>
        </is>
      </c>
      <c r="V152" s="26" t="inlineStr">
        <is>
          <t>Procurement of special-purpose mobile containers by Danish Defence Acquisition and Logistics Organization</t>
        </is>
      </c>
      <c r="W152" s="26" t="inlineStr">
        <is>
          <t>TED</t>
        </is>
      </c>
      <c r="X152" s="26" t="inlineStr"/>
    </row>
    <row r="153" ht="45" customHeight="1">
      <c r="B153" s="26" t="inlineStr">
        <is>
          <t>176779-2019</t>
        </is>
      </c>
      <c r="C153" s="26" t="inlineStr">
        <is>
          <t>Special-purpose mobile containers</t>
        </is>
      </c>
      <c r="D153" s="26" t="inlineStr">
        <is>
          <t>Norway</t>
        </is>
      </c>
      <c r="E153" s="26" t="inlineStr">
        <is>
          <t>Forsvarsmateriell (The Norwegian Defence Materiel Agency)</t>
        </is>
      </c>
      <c r="F153" s="27" t="n">
        <v>43570</v>
      </c>
      <c r="G153" s="26" t="inlineStr">
        <is>
          <t>Closed</t>
        </is>
      </c>
      <c r="H153" s="26" t="n"/>
      <c r="I153" s="26" t="inlineStr"/>
      <c r="J153" s="26" t="n"/>
      <c r="K153" s="26" t="inlineStr">
        <is>
          <t>Special-purpose mobile container system</t>
        </is>
      </c>
      <c r="L153" s="26" t="inlineStr">
        <is>
          <t>Special Purpose</t>
        </is>
      </c>
      <c r="M153" s="26" t="n"/>
      <c r="N153" s="26" t="inlineStr"/>
      <c r="O153" s="26" t="inlineStr"/>
      <c r="P153" s="26" t="n"/>
      <c r="Q153" s="26" t="inlineStr"/>
      <c r="R153" s="26" t="n"/>
      <c r="S153" s="26" t="inlineStr"/>
      <c r="T153" s="26" t="inlineStr"/>
      <c r="U153" s="29" t="inlineStr">
        <is>
          <t>https://ted.europa.eu/en/notice/-/detail/176779-2019</t>
        </is>
      </c>
      <c r="V153" s="26" t="inlineStr">
        <is>
          <t>Procurement of special-purpose mobile containers by Norwegian Defence Materiel Agency</t>
        </is>
      </c>
      <c r="W153" s="26" t="inlineStr">
        <is>
          <t>TED</t>
        </is>
      </c>
      <c r="X153" s="26" t="inlineStr"/>
    </row>
    <row r="154" ht="45" customHeight="1">
      <c r="B154" s="26" t="inlineStr">
        <is>
          <t>551150-2024</t>
        </is>
      </c>
      <c r="C154" s="26" t="inlineStr">
        <is>
          <t>Special-purpose mobile containers - delivery and maintenance of combined cool/freeze flatrack containers</t>
        </is>
      </c>
      <c r="D154" s="26" t="inlineStr">
        <is>
          <t>Netherlands</t>
        </is>
      </c>
      <c r="E154" s="26" t="inlineStr">
        <is>
          <t>Dutch MoD</t>
        </is>
      </c>
      <c r="F154" s="27" t="n">
        <v>45548</v>
      </c>
      <c r="G154" s="26" t="inlineStr">
        <is>
          <t>Closed</t>
        </is>
      </c>
      <c r="H154" s="26" t="n"/>
      <c r="I154" s="26" t="inlineStr">
        <is>
          <t>EUR</t>
        </is>
      </c>
      <c r="J154" s="26" t="n"/>
      <c r="K154" s="26" t="inlineStr">
        <is>
          <t>Combined cool/freeze flatrack container system</t>
        </is>
      </c>
      <c r="L154" s="26" t="inlineStr">
        <is>
          <t>Special Purpose</t>
        </is>
      </c>
      <c r="M154" s="26" t="n"/>
      <c r="N154" s="26" t="inlineStr">
        <is>
          <t>Conditioned container system</t>
        </is>
      </c>
      <c r="O154" s="26" t="inlineStr">
        <is>
          <t>Special Purpose</t>
        </is>
      </c>
      <c r="P154" s="26" t="n"/>
      <c r="Q154" s="26" t="inlineStr"/>
      <c r="R154" s="26" t="n"/>
      <c r="S154" s="26" t="inlineStr"/>
      <c r="T154" s="26" t="inlineStr"/>
      <c r="U154" s="29" t="inlineStr">
        <is>
          <t>https://ted.europa.eu/en/notice/-/detail/551150-2024</t>
        </is>
      </c>
      <c r="V154" s="26" t="inlineStr">
        <is>
          <t>Delivery and maintenance of combined cool/freeze flatrack containers and conditioned containers SIC for Dutch Ministry of Defence</t>
        </is>
      </c>
      <c r="W154" s="26" t="inlineStr">
        <is>
          <t>TED</t>
        </is>
      </c>
      <c r="X154" s="26" t="inlineStr"/>
    </row>
    <row r="155" ht="45" customHeight="1">
      <c r="B155" s="26" t="inlineStr">
        <is>
          <t>21951-2023</t>
        </is>
      </c>
      <c r="C155" s="26" t="inlineStr">
        <is>
          <t>Special-purpose mobile containers</t>
        </is>
      </c>
      <c r="D155" s="26" t="inlineStr">
        <is>
          <t>Romania</t>
        </is>
      </c>
      <c r="E155" s="26" t="inlineStr">
        <is>
          <t>Ministerul Apararii Nationale - Unitatea Militara 01836</t>
        </is>
      </c>
      <c r="F155" s="27" t="n">
        <v>44939</v>
      </c>
      <c r="G155" s="26" t="inlineStr">
        <is>
          <t>Awarded</t>
        </is>
      </c>
      <c r="H155" s="28" t="n">
        <v>1975400</v>
      </c>
      <c r="I155" s="26" t="inlineStr">
        <is>
          <t>RON</t>
        </is>
      </c>
      <c r="J155" s="28" t="n">
        <v>397055</v>
      </c>
      <c r="K155" s="26" t="inlineStr">
        <is>
          <t>Special-purpose mobile container</t>
        </is>
      </c>
      <c r="L155" s="26" t="inlineStr">
        <is>
          <t>Special Purpose</t>
        </is>
      </c>
      <c r="M155" s="28" t="n">
        <v>4</v>
      </c>
      <c r="N155" s="26" t="inlineStr"/>
      <c r="O155" s="26" t="inlineStr"/>
      <c r="P155" s="26" t="n"/>
      <c r="Q155" s="26" t="inlineStr"/>
      <c r="R155" s="26" t="n"/>
      <c r="S155" s="26" t="inlineStr">
        <is>
          <t>18 months</t>
        </is>
      </c>
      <c r="T155" s="26" t="inlineStr">
        <is>
          <t>STIMPEX</t>
        </is>
      </c>
      <c r="U155" s="29" t="inlineStr">
        <is>
          <t>https://ted.europa.eu/en/notice/-/detail/21951-2023</t>
        </is>
      </c>
      <c r="V155" s="26" t="inlineStr">
        <is>
          <t>Procurement of special-purpose mobile containers by Romanian Ministry of Defence</t>
        </is>
      </c>
      <c r="W155" s="26" t="inlineStr">
        <is>
          <t>TED</t>
        </is>
      </c>
      <c r="X155" s="26" t="inlineStr"/>
    </row>
    <row r="156" ht="45" customHeight="1">
      <c r="B156" s="26" t="inlineStr">
        <is>
          <t>623704-2021</t>
        </is>
      </c>
      <c r="C156" s="26" t="inlineStr">
        <is>
          <t>Special-purpose mobile containers</t>
        </is>
      </c>
      <c r="D156" s="26" t="inlineStr">
        <is>
          <t>Italy</t>
        </is>
      </c>
      <c r="E156" s="26" t="inlineStr">
        <is>
          <t>MINISTERO DELLA DIFESA - SGD-DNA/DIREZIONE DEGLI ARMAMENTI TERRESTRI</t>
        </is>
      </c>
      <c r="F156" s="27" t="n">
        <v>44537</v>
      </c>
      <c r="G156" s="26" t="inlineStr">
        <is>
          <t>Closed</t>
        </is>
      </c>
      <c r="H156" s="28" t="n">
        <v>3098937.59</v>
      </c>
      <c r="I156" s="26" t="inlineStr">
        <is>
          <t>EUR</t>
        </is>
      </c>
      <c r="J156" s="28" t="n">
        <v>3098938</v>
      </c>
      <c r="K156" s="26" t="inlineStr">
        <is>
          <t>Special-purpose mobile container</t>
        </is>
      </c>
      <c r="L156" s="26" t="inlineStr">
        <is>
          <t>Special Purpose</t>
        </is>
      </c>
      <c r="M156" s="26" t="n"/>
      <c r="N156" s="26" t="inlineStr"/>
      <c r="O156" s="26" t="inlineStr"/>
      <c r="P156" s="26" t="n"/>
      <c r="Q156" s="26" t="inlineStr"/>
      <c r="R156" s="26" t="n"/>
      <c r="S156" s="26" t="inlineStr">
        <is>
          <t>410 days</t>
        </is>
      </c>
      <c r="T156" s="26" t="inlineStr"/>
      <c r="U156" s="29" t="inlineStr">
        <is>
          <t>https://ted.europa.eu/en/notice/-/detail/623704-2021</t>
        </is>
      </c>
      <c r="V156" s="26" t="inlineStr">
        <is>
          <t>Procurement of special-purpose mobile containers by Italian Ministry of Defence</t>
        </is>
      </c>
      <c r="W156" s="26" t="inlineStr">
        <is>
          <t>TED</t>
        </is>
      </c>
      <c r="X156" s="26" t="inlineStr"/>
    </row>
    <row r="157" ht="45" customHeight="1">
      <c r="B157" s="26" t="inlineStr">
        <is>
          <t>479229-2017</t>
        </is>
      </c>
      <c r="C157" s="26" t="inlineStr">
        <is>
          <t>Special-purpose mobile containers</t>
        </is>
      </c>
      <c r="D157" s="26" t="inlineStr">
        <is>
          <t>Denmark</t>
        </is>
      </c>
      <c r="E157" s="26" t="inlineStr">
        <is>
          <t>The Danish Defence Aquisition and Logistics Organization (DALO)</t>
        </is>
      </c>
      <c r="F157" s="27" t="n">
        <v>43069</v>
      </c>
      <c r="G157" s="26" t="inlineStr">
        <is>
          <t>Awarded</t>
        </is>
      </c>
      <c r="H157" s="28" t="n">
        <v>15000000</v>
      </c>
      <c r="I157" s="26" t="inlineStr">
        <is>
          <t>DKK</t>
        </is>
      </c>
      <c r="J157" s="28" t="n">
        <v>2010000</v>
      </c>
      <c r="K157" s="26" t="inlineStr">
        <is>
          <t>Special-purpose mobile container system</t>
        </is>
      </c>
      <c r="L157" s="26" t="inlineStr">
        <is>
          <t>Special Purpose</t>
        </is>
      </c>
      <c r="M157" s="26" t="n"/>
      <c r="N157" s="26" t="inlineStr"/>
      <c r="O157" s="26" t="inlineStr"/>
      <c r="P157" s="26" t="n"/>
      <c r="Q157" s="26" t="inlineStr"/>
      <c r="R157" s="26" t="n"/>
      <c r="S157" s="26" t="inlineStr"/>
      <c r="T157" s="26" t="inlineStr">
        <is>
          <t>AS Maru Metall</t>
        </is>
      </c>
      <c r="U157" s="29" t="inlineStr">
        <is>
          <t>https://ted.europa.eu/en/notice/-/detail/479229-2017</t>
        </is>
      </c>
      <c r="V157" s="26" t="inlineStr">
        <is>
          <t>Procurement of special-purpose mobile containers by Danish Defence Acquisition and Logistics Organization</t>
        </is>
      </c>
      <c r="W157" s="26" t="inlineStr">
        <is>
          <t>TED</t>
        </is>
      </c>
      <c r="X157" s="26" t="inlineStr"/>
    </row>
    <row r="158" ht="45" customHeight="1">
      <c r="B158" s="26" t="inlineStr">
        <is>
          <t>434505-2024</t>
        </is>
      </c>
      <c r="C158" s="26" t="inlineStr">
        <is>
          <t>Heat trailers procurement for Moldova</t>
        </is>
      </c>
      <c r="D158" s="26" t="inlineStr">
        <is>
          <t>Estonia</t>
        </is>
      </c>
      <c r="E158" s="26" t="inlineStr">
        <is>
          <t>Riigi Kaitseinvesteeringute Keskus</t>
        </is>
      </c>
      <c r="F158" s="27" t="n">
        <v>45492</v>
      </c>
      <c r="G158" s="26" t="inlineStr">
        <is>
          <t>Awarded</t>
        </is>
      </c>
      <c r="H158" s="28" t="n">
        <v>33700</v>
      </c>
      <c r="I158" s="26" t="inlineStr">
        <is>
          <t>EUR</t>
        </is>
      </c>
      <c r="J158" s="28" t="n">
        <v>33700</v>
      </c>
      <c r="K158" s="26" t="inlineStr">
        <is>
          <t>Military heating trailer</t>
        </is>
      </c>
      <c r="L158" s="26" t="inlineStr">
        <is>
          <t>Special Purpose</t>
        </is>
      </c>
      <c r="M158" s="28" t="n">
        <v>4</v>
      </c>
      <c r="N158" s="26" t="inlineStr"/>
      <c r="O158" s="26" t="inlineStr"/>
      <c r="P158" s="26" t="n"/>
      <c r="Q158" s="26" t="inlineStr"/>
      <c r="R158" s="26" t="n"/>
      <c r="S158" s="26" t="inlineStr">
        <is>
          <t>3 months</t>
        </is>
      </c>
      <c r="T158" s="26" t="inlineStr">
        <is>
          <t>aktsiaselts RESPO HAAGISED</t>
        </is>
      </c>
      <c r="U158" s="29" t="inlineStr">
        <is>
          <t>https://ted.europa.eu/en/notice/-/detail/434505-2024</t>
        </is>
      </c>
      <c r="V158" s="26" t="inlineStr">
        <is>
          <t>Procurement of 4 heat trailers for Moldova's Ministry of Defence and Armed Forces. Contract in English, 3-month delivery period. Purchaser reserves right to reduce quantity if budget exceeded.</t>
        </is>
      </c>
      <c r="W158" s="26" t="inlineStr">
        <is>
          <t>TED</t>
        </is>
      </c>
      <c r="X158" s="26" t="inlineStr"/>
    </row>
    <row r="159" ht="45" customHeight="1">
      <c r="B159" s="26" t="inlineStr">
        <is>
          <t>53033-2024</t>
        </is>
      </c>
      <c r="C159" s="26" t="inlineStr">
        <is>
          <t>Special-purpose mobile containers</t>
        </is>
      </c>
      <c r="D159" s="26" t="inlineStr">
        <is>
          <t>Italy</t>
        </is>
      </c>
      <c r="E159" s="26" t="inlineStr">
        <is>
          <t>MINISTERO DELLA DIFESA - SGD-DNA/DIREZIONE DEGLI ARMAMENTI TERRESTRI</t>
        </is>
      </c>
      <c r="F159" s="27" t="n">
        <v>45317</v>
      </c>
      <c r="G159" s="26" t="inlineStr">
        <is>
          <t>Awarded</t>
        </is>
      </c>
      <c r="H159" s="28" t="n">
        <v>610000</v>
      </c>
      <c r="I159" s="26" t="inlineStr">
        <is>
          <t>EUR</t>
        </is>
      </c>
      <c r="J159" s="28" t="n">
        <v>610000</v>
      </c>
      <c r="K159" s="26" t="inlineStr">
        <is>
          <t>Special-purpose mobile container</t>
        </is>
      </c>
      <c r="L159" s="26" t="inlineStr">
        <is>
          <t>Special Purpose</t>
        </is>
      </c>
      <c r="M159" s="26" t="n"/>
      <c r="N159" s="26" t="inlineStr"/>
      <c r="O159" s="26" t="inlineStr"/>
      <c r="P159" s="26" t="n"/>
      <c r="Q159" s="26" t="inlineStr"/>
      <c r="R159" s="26" t="n"/>
      <c r="S159" s="26" t="inlineStr"/>
      <c r="T159" s="26" t="inlineStr">
        <is>
          <t>OMP ENGINEERING SRL</t>
        </is>
      </c>
      <c r="U159" s="29" t="inlineStr">
        <is>
          <t>https://ted.europa.eu/en/notice/-/detail/53033-2024</t>
        </is>
      </c>
      <c r="V159" s="26" t="inlineStr">
        <is>
          <t>Procurement of special-purpose mobile containers by Italian Ministry of Defence</t>
        </is>
      </c>
      <c r="W159" s="26" t="inlineStr">
        <is>
          <t>TED</t>
        </is>
      </c>
      <c r="X159" s="26" t="inlineStr"/>
    </row>
    <row r="160" ht="45" customHeight="1">
      <c r="B160" s="26" t="inlineStr">
        <is>
          <t>433838-2023</t>
        </is>
      </c>
      <c r="C160" s="26" t="inlineStr">
        <is>
          <t>Special-purpose mobile containers</t>
        </is>
      </c>
      <c r="D160" s="26" t="inlineStr">
        <is>
          <t>Italy</t>
        </is>
      </c>
      <c r="E160" s="26" t="inlineStr">
        <is>
          <t>COMANDO LOGISTICO DELL’ESERCITO</t>
        </is>
      </c>
      <c r="F160" s="27" t="n">
        <v>45125</v>
      </c>
      <c r="G160" s="26" t="inlineStr">
        <is>
          <t>Closed</t>
        </is>
      </c>
      <c r="H160" s="28" t="n">
        <v>630000</v>
      </c>
      <c r="I160" s="26" t="inlineStr">
        <is>
          <t>EUR</t>
        </is>
      </c>
      <c r="J160" s="28" t="n">
        <v>630000</v>
      </c>
      <c r="K160" s="26" t="inlineStr">
        <is>
          <t>Special-purpose mobile containers</t>
        </is>
      </c>
      <c r="L160" s="26" t="inlineStr">
        <is>
          <t>Special Purpose</t>
        </is>
      </c>
      <c r="M160" s="26" t="n"/>
      <c r="N160" s="26" t="inlineStr"/>
      <c r="O160" s="26" t="inlineStr"/>
      <c r="P160" s="26" t="n"/>
      <c r="Q160" s="26" t="inlineStr"/>
      <c r="R160" s="26" t="n"/>
      <c r="S160" s="26" t="inlineStr">
        <is>
          <t>5 months</t>
        </is>
      </c>
      <c r="T160" s="26" t="inlineStr"/>
      <c r="U160" s="29" t="inlineStr">
        <is>
          <t>https://ted.europa.eu/en/notice/-/detail/433838-2023</t>
        </is>
      </c>
      <c r="V160" s="26" t="inlineStr">
        <is>
          <t>Procurement of special-purpose mobile containers by Italian Army Logistics Command</t>
        </is>
      </c>
      <c r="W160" s="26" t="inlineStr">
        <is>
          <t>TED</t>
        </is>
      </c>
      <c r="X160" s="26" t="inlineStr"/>
    </row>
    <row r="161" ht="45" customHeight="1">
      <c r="B161" s="26" t="inlineStr">
        <is>
          <t>384070-2017</t>
        </is>
      </c>
      <c r="C161" s="26" t="inlineStr">
        <is>
          <t>Field kitchens</t>
        </is>
      </c>
      <c r="D161" s="26" t="inlineStr">
        <is>
          <t>Hungary</t>
        </is>
      </c>
      <c r="E161" s="26" t="inlineStr">
        <is>
          <t>Honvédelmi Minisztérium Védelemgazdasági Hivatal</t>
        </is>
      </c>
      <c r="F161" s="27" t="n">
        <v>43007</v>
      </c>
      <c r="G161" s="26" t="inlineStr">
        <is>
          <t>Closed</t>
        </is>
      </c>
      <c r="H161" s="26" t="n"/>
      <c r="I161" s="26" t="inlineStr"/>
      <c r="J161" s="26" t="n"/>
      <c r="K161" s="26" t="inlineStr">
        <is>
          <t>Field kitchen trailer</t>
        </is>
      </c>
      <c r="L161" s="26" t="inlineStr">
        <is>
          <t>Field Kitchen</t>
        </is>
      </c>
      <c r="M161" s="26" t="n"/>
      <c r="N161" s="26" t="inlineStr"/>
      <c r="O161" s="26" t="inlineStr"/>
      <c r="P161" s="26" t="n"/>
      <c r="Q161" s="26" t="inlineStr"/>
      <c r="R161" s="26" t="n"/>
      <c r="S161" s="26" t="inlineStr">
        <is>
          <t>300 days</t>
        </is>
      </c>
      <c r="T161" s="26" t="inlineStr"/>
      <c r="U161" s="29" t="inlineStr">
        <is>
          <t>https://ted.europa.eu/en/notice/-/detail/384070-2017</t>
        </is>
      </c>
      <c r="V161" s="26" t="inlineStr">
        <is>
          <t>Procurement of field kitchens by Hungarian Ministry of Defence</t>
        </is>
      </c>
      <c r="W161" s="26" t="inlineStr">
        <is>
          <t>TED</t>
        </is>
      </c>
      <c r="X161" s="26" t="inlineStr"/>
    </row>
    <row r="162" ht="45" customHeight="1">
      <c r="B162" s="26" t="inlineStr">
        <is>
          <t>790433-2023</t>
        </is>
      </c>
      <c r="C162" s="26" t="inlineStr">
        <is>
          <t>Special-purpose mobile containers</t>
        </is>
      </c>
      <c r="D162" s="26" t="inlineStr">
        <is>
          <t>Italy</t>
        </is>
      </c>
      <c r="E162" s="26" t="inlineStr">
        <is>
          <t>MINISTERO DELLA DIFESA / SGD-DNA/DIREZIONE DEGLI ARMAMENTI TERRESTRI</t>
        </is>
      </c>
      <c r="F162" s="27" t="n">
        <v>45287</v>
      </c>
      <c r="G162" s="26" t="inlineStr">
        <is>
          <t>Closed</t>
        </is>
      </c>
      <c r="H162" s="28" t="n">
        <v>8679127.98</v>
      </c>
      <c r="I162" s="26" t="inlineStr">
        <is>
          <t>EUR</t>
        </is>
      </c>
      <c r="J162" s="28" t="n">
        <v>8679128</v>
      </c>
      <c r="K162" s="26" t="inlineStr">
        <is>
          <t>Special-purpose mobile container</t>
        </is>
      </c>
      <c r="L162" s="26" t="inlineStr">
        <is>
          <t>Special Purpose</t>
        </is>
      </c>
      <c r="M162" s="26" t="n"/>
      <c r="N162" s="26" t="inlineStr"/>
      <c r="O162" s="26" t="inlineStr"/>
      <c r="P162" s="26" t="n"/>
      <c r="Q162" s="26" t="inlineStr"/>
      <c r="R162" s="26" t="n"/>
      <c r="S162" s="26" t="inlineStr">
        <is>
          <t>150 days</t>
        </is>
      </c>
      <c r="T162" s="26" t="inlineStr"/>
      <c r="U162" s="29" t="inlineStr">
        <is>
          <t>https://ted.europa.eu/en/notice/-/detail/790433-2023</t>
        </is>
      </c>
      <c r="V162" s="26" t="inlineStr">
        <is>
          <t>Procurement of special-purpose mobile containers by Italian Ministry of Defense</t>
        </is>
      </c>
      <c r="W162" s="26" t="inlineStr">
        <is>
          <t>TED</t>
        </is>
      </c>
      <c r="X162" s="26" t="inlineStr"/>
    </row>
    <row r="163" ht="45" customHeight="1">
      <c r="B163" s="26" t="inlineStr">
        <is>
          <t>664066-2022</t>
        </is>
      </c>
      <c r="C163" s="26" t="inlineStr">
        <is>
          <t>Special-purpose mobile containers</t>
        </is>
      </c>
      <c r="D163" s="26" t="inlineStr">
        <is>
          <t>Romania</t>
        </is>
      </c>
      <c r="E163" s="26" t="inlineStr">
        <is>
          <t>Ministerul Apararii Nationale - Unitatea Militara 01836</t>
        </is>
      </c>
      <c r="F163" s="27" t="n">
        <v>44894</v>
      </c>
      <c r="G163" s="26" t="inlineStr">
        <is>
          <t>Awarded</t>
        </is>
      </c>
      <c r="H163" s="28" t="n">
        <v>1975400</v>
      </c>
      <c r="I163" s="26" t="inlineStr">
        <is>
          <t>RON</t>
        </is>
      </c>
      <c r="J163" s="28" t="n">
        <v>397055</v>
      </c>
      <c r="K163" s="26" t="inlineStr">
        <is>
          <t>Special-purpose mobile container</t>
        </is>
      </c>
      <c r="L163" s="26" t="inlineStr">
        <is>
          <t>Special Purpose</t>
        </is>
      </c>
      <c r="M163" s="28" t="n">
        <v>4</v>
      </c>
      <c r="N163" s="26" t="inlineStr"/>
      <c r="O163" s="26" t="inlineStr"/>
      <c r="P163" s="26" t="n"/>
      <c r="Q163" s="26" t="inlineStr"/>
      <c r="R163" s="26" t="n"/>
      <c r="S163" s="26" t="inlineStr">
        <is>
          <t>18 months</t>
        </is>
      </c>
      <c r="T163" s="26" t="inlineStr">
        <is>
          <t>STIMPEX</t>
        </is>
      </c>
      <c r="U163" s="29" t="inlineStr">
        <is>
          <t>https://ted.europa.eu/en/notice/-/detail/664066-2022</t>
        </is>
      </c>
      <c r="V163" s="26" t="inlineStr">
        <is>
          <t>Procurement of special-purpose mobile containers by Romanian Ministry of Defence</t>
        </is>
      </c>
      <c r="W163" s="26" t="inlineStr">
        <is>
          <t>TED</t>
        </is>
      </c>
      <c r="X163" s="26" t="inlineStr"/>
    </row>
    <row r="164" ht="45" customHeight="1">
      <c r="B164" s="26" t="inlineStr">
        <is>
          <t>4819-2021</t>
        </is>
      </c>
      <c r="C164" s="26" t="inlineStr">
        <is>
          <t>Special-purpose mobile containers</t>
        </is>
      </c>
      <c r="D164" s="26" t="inlineStr">
        <is>
          <t>Romania</t>
        </is>
      </c>
      <c r="E164" s="26" t="inlineStr">
        <is>
          <t>Ministerul Apărării Naţionale</t>
        </is>
      </c>
      <c r="F164" s="27" t="n">
        <v>44204</v>
      </c>
      <c r="G164" s="26" t="inlineStr">
        <is>
          <t>Awarded</t>
        </is>
      </c>
      <c r="H164" s="28" t="n">
        <v>1494000</v>
      </c>
      <c r="I164" s="26" t="inlineStr">
        <is>
          <t>RON</t>
        </is>
      </c>
      <c r="J164" s="28" t="n">
        <v>300294</v>
      </c>
      <c r="K164" s="26" t="inlineStr">
        <is>
          <t>Special-purpose mobile container</t>
        </is>
      </c>
      <c r="L164" s="26" t="inlineStr">
        <is>
          <t>Special Purpose</t>
        </is>
      </c>
      <c r="M164" s="26" t="n"/>
      <c r="N164" s="26" t="inlineStr"/>
      <c r="O164" s="26" t="inlineStr"/>
      <c r="P164" s="26" t="n"/>
      <c r="Q164" s="26" t="inlineStr"/>
      <c r="R164" s="26" t="n"/>
      <c r="S164" s="26" t="inlineStr"/>
      <c r="T164" s="26" t="inlineStr">
        <is>
          <t>Aerostar</t>
        </is>
      </c>
      <c r="U164" s="29" t="inlineStr">
        <is>
          <t>https://ted.europa.eu/en/notice/-/detail/4819-2021</t>
        </is>
      </c>
      <c r="V164" s="26" t="inlineStr">
        <is>
          <t>Procurement of special-purpose mobile containers by Romanian Ministry of Defence</t>
        </is>
      </c>
      <c r="W164" s="26" t="inlineStr">
        <is>
          <t>TED</t>
        </is>
      </c>
      <c r="X164" s="26" t="inlineStr"/>
    </row>
    <row r="165" ht="45" customHeight="1">
      <c r="B165" s="26" t="inlineStr">
        <is>
          <t>108413-2022</t>
        </is>
      </c>
      <c r="C165" s="26" t="inlineStr">
        <is>
          <t>Special-purpose mobile containers</t>
        </is>
      </c>
      <c r="D165" s="26" t="inlineStr">
        <is>
          <t>Italy</t>
        </is>
      </c>
      <c r="E165" s="26" t="inlineStr">
        <is>
          <t>MINISTERO DELLA DIFESA - SGD-DNA/DIREZIONE DEGLI ARMAMENTI TERRESTRI</t>
        </is>
      </c>
      <c r="F165" s="27" t="n">
        <v>44621</v>
      </c>
      <c r="G165" s="26" t="inlineStr">
        <is>
          <t>Closed</t>
        </is>
      </c>
      <c r="H165" s="28" t="n">
        <v>3992109.2</v>
      </c>
      <c r="I165" s="26" t="inlineStr">
        <is>
          <t>EUR</t>
        </is>
      </c>
      <c r="J165" s="28" t="n">
        <v>3992109</v>
      </c>
      <c r="K165" s="26" t="inlineStr">
        <is>
          <t>Special-purpose mobile containers</t>
        </is>
      </c>
      <c r="L165" s="26" t="inlineStr">
        <is>
          <t>Special Purpose</t>
        </is>
      </c>
      <c r="M165" s="26" t="n"/>
      <c r="N165" s="26" t="inlineStr"/>
      <c r="O165" s="26" t="inlineStr"/>
      <c r="P165" s="26" t="n"/>
      <c r="Q165" s="26" t="inlineStr"/>
      <c r="R165" s="26" t="n"/>
      <c r="S165" s="26" t="inlineStr">
        <is>
          <t>400 days</t>
        </is>
      </c>
      <c r="T165" s="26" t="inlineStr"/>
      <c r="U165" s="29" t="inlineStr">
        <is>
          <t>https://ted.europa.eu/en/notice/-/detail/108413-2022</t>
        </is>
      </c>
      <c r="V165" s="26" t="inlineStr">
        <is>
          <t>Procurement of special-purpose mobile containers by Italian Ministry of Defence</t>
        </is>
      </c>
      <c r="W165" s="26" t="inlineStr">
        <is>
          <t>TED</t>
        </is>
      </c>
      <c r="X165" s="26" t="inlineStr"/>
    </row>
    <row r="166" ht="45" customHeight="1">
      <c r="B166" s="26" t="inlineStr">
        <is>
          <t>529820-2020</t>
        </is>
      </c>
      <c r="C166" s="26" t="inlineStr">
        <is>
          <t>Special-purpose mobile containers</t>
        </is>
      </c>
      <c r="D166" s="26" t="inlineStr">
        <is>
          <t>Romania</t>
        </is>
      </c>
      <c r="E166" s="26" t="inlineStr">
        <is>
          <t>Ministerul Apărării Naţionale</t>
        </is>
      </c>
      <c r="F166" s="27" t="n">
        <v>44141</v>
      </c>
      <c r="G166" s="26" t="inlineStr">
        <is>
          <t>Closed</t>
        </is>
      </c>
      <c r="H166" s="28" t="n">
        <v>2280000</v>
      </c>
      <c r="I166" s="26" t="inlineStr">
        <is>
          <t>RON</t>
        </is>
      </c>
      <c r="J166" s="28" t="n">
        <v>458280</v>
      </c>
      <c r="K166" s="26" t="inlineStr">
        <is>
          <t>Special-purpose mobile container</t>
        </is>
      </c>
      <c r="L166" s="26" t="inlineStr">
        <is>
          <t>Special Purpose</t>
        </is>
      </c>
      <c r="M166" s="26" t="n"/>
      <c r="N166" s="26" t="inlineStr"/>
      <c r="O166" s="26" t="inlineStr"/>
      <c r="P166" s="26" t="n"/>
      <c r="Q166" s="26" t="inlineStr"/>
      <c r="R166" s="26" t="n"/>
      <c r="S166" s="26" t="inlineStr">
        <is>
          <t>12 months</t>
        </is>
      </c>
      <c r="T166" s="26" t="inlineStr"/>
      <c r="U166" s="29" t="inlineStr">
        <is>
          <t>https://ted.europa.eu/en/notice/-/detail/529820-2020</t>
        </is>
      </c>
      <c r="V166" s="26" t="inlineStr">
        <is>
          <t>Procurement of special-purpose mobile containers by Romanian Ministry of Defence. Value 2,280,000 RON. Specific technical details not provided in notice.</t>
        </is>
      </c>
      <c r="W166" s="26" t="inlineStr">
        <is>
          <t>TED</t>
        </is>
      </c>
      <c r="X166" s="26" t="inlineStr"/>
    </row>
    <row r="167" ht="45" customHeight="1">
      <c r="B167" s="26" t="inlineStr">
        <is>
          <t>UK-tender_285861/998388</t>
        </is>
      </c>
      <c r="C167" s="26" t="inlineStr">
        <is>
          <t>Heavy Technical Trailer Capability - Industry Engagement</t>
        </is>
      </c>
      <c r="D167" s="26" t="inlineStr">
        <is>
          <t>United Kingdom</t>
        </is>
      </c>
      <c r="E167" s="26" t="inlineStr">
        <is>
          <t>Ministry of Defence</t>
        </is>
      </c>
      <c r="F167" s="27" t="n">
        <v>44456</v>
      </c>
      <c r="G167" s="26" t="inlineStr">
        <is>
          <t>Closed</t>
        </is>
      </c>
      <c r="H167" s="26" t="n"/>
      <c r="I167" s="26" t="inlineStr"/>
      <c r="J167" s="26" t="n"/>
      <c r="K167" s="26" t="inlineStr">
        <is>
          <t>Heavy technical trailer up to 7t capacity</t>
        </is>
      </c>
      <c r="L167" s="26" t="inlineStr">
        <is>
          <t>Special Purpose</t>
        </is>
      </c>
      <c r="M167" s="28" t="n">
        <v>120</v>
      </c>
      <c r="N167" s="26" t="inlineStr"/>
      <c r="O167" s="26" t="inlineStr"/>
      <c r="P167" s="26" t="n"/>
      <c r="Q167" s="26" t="inlineStr"/>
      <c r="R167" s="26" t="n"/>
      <c r="S167" s="26" t="inlineStr"/>
      <c r="T167" s="26" t="inlineStr"/>
      <c r="U167" s="26" t="inlineStr"/>
      <c r="V167" s="26" t="inlineStr">
        <is>
          <t>Army requires family of trailers for armoured platforms to carry PYTHON mine clearance system, power packs, engines, assemblies, and logistics supplies. Up to 7t load capacity, cross-country mobility, GVA compliant. Expected fleet size c120 units with 20-year lifespan. Industry engagement for procurement 2023-26.</t>
        </is>
      </c>
      <c r="W167" s="26" t="inlineStr">
        <is>
          <t>UK-CF</t>
        </is>
      </c>
      <c r="X167" s="29" t="inlineStr">
        <is>
          <t>https://www.contractsfinder.service.gov.uk/Notice/a56e62c1-b5d0-4ab4-a903-3ca87ef1c3ab</t>
        </is>
      </c>
    </row>
    <row r="168" ht="45" customHeight="1">
      <c r="B168" s="26" t="inlineStr">
        <is>
          <t>UK-tender_347489/1184039</t>
        </is>
      </c>
      <c r="C168" s="26" t="inlineStr">
        <is>
          <t>Commando Raiding Craft Trailers</t>
        </is>
      </c>
      <c r="D168" s="26" t="inlineStr">
        <is>
          <t>United Kingdom</t>
        </is>
      </c>
      <c r="E168" s="26" t="inlineStr">
        <is>
          <t>Ministry of Defence</t>
        </is>
      </c>
      <c r="F168" s="27" t="n">
        <v>44983</v>
      </c>
      <c r="G168" s="26" t="inlineStr">
        <is>
          <t>Awarded</t>
        </is>
      </c>
      <c r="H168" s="28" t="n">
        <v>801000</v>
      </c>
      <c r="I168" s="26" t="inlineStr">
        <is>
          <t>GBP</t>
        </is>
      </c>
      <c r="J168" s="28" t="n">
        <v>937170</v>
      </c>
      <c r="K168" s="26" t="inlineStr">
        <is>
          <t>Commando raiding craft trailer</t>
        </is>
      </c>
      <c r="L168" s="26" t="inlineStr">
        <is>
          <t>Special Purpose</t>
        </is>
      </c>
      <c r="M168" s="26" t="n"/>
      <c r="N168" s="26" t="inlineStr"/>
      <c r="O168" s="26" t="inlineStr"/>
      <c r="P168" s="26" t="n"/>
      <c r="Q168" s="26" t="inlineStr"/>
      <c r="R168" s="26" t="n"/>
      <c r="S168" s="26" t="inlineStr"/>
      <c r="T168" s="26" t="inlineStr">
        <is>
          <t>Andover Trailers Ltd</t>
        </is>
      </c>
      <c r="U168" s="26" t="inlineStr"/>
      <c r="V168" s="26" t="inlineStr">
        <is>
          <t>Award of contract for specialized trailers designed to transport commando raiding craft for military operations</t>
        </is>
      </c>
      <c r="W168" s="26" t="inlineStr">
        <is>
          <t>UK-CF</t>
        </is>
      </c>
      <c r="X168" s="29" t="inlineStr">
        <is>
          <t>https://www.contractsfinder.service.gov.uk/Notice/112fb8e4-cae9-4162-82ba-a6968286b34d</t>
        </is>
      </c>
    </row>
    <row r="169" ht="45" customHeight="1">
      <c r="B169" s="26" t="inlineStr">
        <is>
          <t>UK-tender_340233/1221190</t>
        </is>
      </c>
      <c r="C169" s="26" t="inlineStr">
        <is>
          <t>Box Trailers</t>
        </is>
      </c>
      <c r="D169" s="26" t="inlineStr">
        <is>
          <t>United Kingdom</t>
        </is>
      </c>
      <c r="E169" s="26" t="inlineStr">
        <is>
          <t>Ministry of Defence</t>
        </is>
      </c>
      <c r="F169" s="27" t="n">
        <v>45083</v>
      </c>
      <c r="G169" s="26" t="inlineStr">
        <is>
          <t>Awarded</t>
        </is>
      </c>
      <c r="H169" s="28" t="n">
        <v>92700</v>
      </c>
      <c r="I169" s="26" t="inlineStr">
        <is>
          <t>GBP</t>
        </is>
      </c>
      <c r="J169" s="28" t="n">
        <v>108459</v>
      </c>
      <c r="K169" s="26" t="inlineStr">
        <is>
          <t>Box trailer (type not specified in notice)</t>
        </is>
      </c>
      <c r="L169" s="26" t="inlineStr">
        <is>
          <t>Cargo Trailer</t>
        </is>
      </c>
      <c r="M169" s="26" t="n"/>
      <c r="N169" s="26" t="inlineStr"/>
      <c r="O169" s="26" t="inlineStr"/>
      <c r="P169" s="26" t="n"/>
      <c r="Q169" s="26" t="inlineStr"/>
      <c r="R169" s="26" t="n"/>
      <c r="S169" s="26" t="inlineStr"/>
      <c r="T169" s="26" t="inlineStr">
        <is>
          <t>THJ (Machinery) Ltd</t>
        </is>
      </c>
      <c r="U169" s="26" t="inlineStr"/>
      <c r="V169" s="26" t="inlineStr">
        <is>
          <t>Award of contract for box trailers for military use</t>
        </is>
      </c>
      <c r="W169" s="26" t="inlineStr">
        <is>
          <t>UK-CF</t>
        </is>
      </c>
      <c r="X169" s="29" t="inlineStr">
        <is>
          <t>https://www.contractsfinder.service.gov.uk/Notice/32d1d651-dcfa-4711-a2e6-355ab82d08df</t>
        </is>
      </c>
    </row>
    <row r="170" ht="45" customHeight="1">
      <c r="B170" s="26" t="inlineStr">
        <is>
          <t>UK-tender_340233/1200929</t>
        </is>
      </c>
      <c r="C170" s="26" t="inlineStr">
        <is>
          <t>Box Trailers</t>
        </is>
      </c>
      <c r="D170" s="26" t="inlineStr">
        <is>
          <t>United Kingdom</t>
        </is>
      </c>
      <c r="E170" s="26" t="inlineStr">
        <is>
          <t>Ministry of Defence</t>
        </is>
      </c>
      <c r="F170" s="27" t="n">
        <v>45022</v>
      </c>
      <c r="G170" s="26" t="inlineStr">
        <is>
          <t>Closed</t>
        </is>
      </c>
      <c r="H170" s="28" t="n">
        <v>100000</v>
      </c>
      <c r="I170" s="26" t="inlineStr">
        <is>
          <t>GBP</t>
        </is>
      </c>
      <c r="J170" s="28" t="n">
        <v>117000</v>
      </c>
      <c r="K170" s="26" t="inlineStr">
        <is>
          <t>Military box trailer (type not specified in notice)</t>
        </is>
      </c>
      <c r="L170" s="26" t="inlineStr">
        <is>
          <t>Cargo Trailer</t>
        </is>
      </c>
      <c r="M170" s="26" t="n"/>
      <c r="N170" s="26" t="inlineStr"/>
      <c r="O170" s="26" t="inlineStr"/>
      <c r="P170" s="26" t="n"/>
      <c r="Q170" s="26" t="inlineStr"/>
      <c r="R170" s="26" t="n"/>
      <c r="S170" s="26" t="inlineStr"/>
      <c r="T170" s="26" t="inlineStr"/>
      <c r="U170" s="26" t="inlineStr"/>
      <c r="V170" s="26" t="inlineStr">
        <is>
          <t>Procurement of box trailers for military use as specified in tender documentation.</t>
        </is>
      </c>
      <c r="W170" s="26" t="inlineStr">
        <is>
          <t>UK-CF</t>
        </is>
      </c>
      <c r="X170" s="29" t="inlineStr">
        <is>
          <t>https://www.contractsfinder.service.gov.uk/Notice/9b5c88a9-9898-4215-8ea4-0d92e521c23b</t>
        </is>
      </c>
    </row>
    <row r="171" ht="45" customHeight="1">
      <c r="B171" s="26" t="inlineStr">
        <is>
          <t>CZ-N006/26/V00010428</t>
        </is>
      </c>
      <c r="C171" s="26" t="inlineStr">
        <is>
          <t>Purchase of Trailers for Armed Forces</t>
        </is>
      </c>
      <c r="D171" s="26" t="inlineStr">
        <is>
          <t>Czech Republic</t>
        </is>
      </c>
      <c r="E171" s="26" t="inlineStr">
        <is>
          <t>Ministerstvo obrany CR</t>
        </is>
      </c>
      <c r="F171" s="27" t="n">
        <v>46023</v>
      </c>
      <c r="G171" s="26" t="inlineStr">
        <is>
          <t>Open</t>
        </is>
      </c>
      <c r="H171" s="26" t="n"/>
      <c r="I171" s="26" t="inlineStr"/>
      <c r="J171" s="26" t="n"/>
      <c r="K171" s="26" t="inlineStr">
        <is>
          <t>Military trailer (type not specified in notice)</t>
        </is>
      </c>
      <c r="L171" s="26" t="inlineStr">
        <is>
          <t>Other</t>
        </is>
      </c>
      <c r="M171" s="26" t="n"/>
      <c r="N171" s="26" t="inlineStr"/>
      <c r="O171" s="26" t="inlineStr"/>
      <c r="P171" s="26" t="n"/>
      <c r="Q171" s="26" t="inlineStr"/>
      <c r="R171" s="26" t="n"/>
      <c r="S171" s="26" t="inlineStr"/>
      <c r="T171" s="26" t="inlineStr"/>
      <c r="U171" s="26" t="inlineStr"/>
      <c r="V171" s="26" t="inlineStr">
        <is>
          <t>Procurement of trailers for the Armed Forces by the Czech Ministry of Defence. Small-scale public contract with estimated value of 123,293.66 CZK. Maximum price per trailer unit is 39,999.99 CZK including VAT. Delivery will be made as a complete package according to purchase agreement conditions.</t>
        </is>
      </c>
      <c r="W171" s="26" t="inlineStr">
        <is>
          <t>CZ-NEN</t>
        </is>
      </c>
      <c r="X171" s="29" t="inlineStr">
        <is>
          <t>https://nen.nipez.cz/verejne-zakazky/detail-zakazky/N006-26-V00010428</t>
        </is>
      </c>
    </row>
    <row r="172" ht="45" customHeight="1">
      <c r="B172" s="26" t="inlineStr">
        <is>
          <t>CZ-N006/26/V00008881</t>
        </is>
      </c>
      <c r="C172" s="26" t="inlineStr">
        <is>
          <t>Purchase of Military Trailer</t>
        </is>
      </c>
      <c r="D172" s="26" t="inlineStr">
        <is>
          <t>Czech Republic</t>
        </is>
      </c>
      <c r="E172" s="26" t="inlineStr">
        <is>
          <t>Ministerstvo obrany CR</t>
        </is>
      </c>
      <c r="F172" s="27" t="n">
        <v>46023</v>
      </c>
      <c r="G172" s="26" t="inlineStr">
        <is>
          <t>Open</t>
        </is>
      </c>
      <c r="H172" s="26" t="n"/>
      <c r="I172" s="26" t="inlineStr"/>
      <c r="J172" s="26" t="n"/>
      <c r="K172" s="26" t="inlineStr">
        <is>
          <t>Military trailer (type not specified in notice)</t>
        </is>
      </c>
      <c r="L172" s="26" t="inlineStr">
        <is>
          <t>Other</t>
        </is>
      </c>
      <c r="M172" s="26" t="n"/>
      <c r="N172" s="26" t="inlineStr"/>
      <c r="O172" s="26" t="inlineStr"/>
      <c r="P172" s="26" t="n"/>
      <c r="Q172" s="26" t="inlineStr"/>
      <c r="R172" s="26" t="n"/>
      <c r="S172" s="26" t="inlineStr"/>
      <c r="T172" s="26" t="inlineStr"/>
      <c r="U172" s="26" t="inlineStr"/>
      <c r="V172" s="26" t="inlineStr">
        <is>
          <t>Procurement of trailer by Czech Ministry of Defence for military use in Karlovarský region</t>
        </is>
      </c>
      <c r="W172" s="26" t="inlineStr">
        <is>
          <t>CZ-NEN</t>
        </is>
      </c>
      <c r="X172" s="29" t="inlineStr">
        <is>
          <t>https://nen.nipez.cz/verejne-zakazky/detail-zakazky/N006-26-V00008881</t>
        </is>
      </c>
    </row>
    <row r="173" ht="45" customHeight="1">
      <c r="B173" s="26" t="inlineStr">
        <is>
          <t>CZ-N006/26/V00005076</t>
        </is>
      </c>
      <c r="C173" s="26" t="inlineStr">
        <is>
          <t>Purchase of trailers up to 750kg for armed forces</t>
        </is>
      </c>
      <c r="D173" s="26" t="inlineStr">
        <is>
          <t>Czech Republic</t>
        </is>
      </c>
      <c r="E173" s="26" t="inlineStr">
        <is>
          <t>Ministerstvo obrany CR</t>
        </is>
      </c>
      <c r="F173" s="27" t="n">
        <v>46023</v>
      </c>
      <c r="G173" s="26" t="inlineStr">
        <is>
          <t>Open</t>
        </is>
      </c>
      <c r="H173" s="26" t="n"/>
      <c r="I173" s="26" t="inlineStr"/>
      <c r="J173" s="26" t="n"/>
      <c r="K173" s="26" t="inlineStr">
        <is>
          <t>Military trailer up to 750kg capacity</t>
        </is>
      </c>
      <c r="L173" s="26" t="inlineStr">
        <is>
          <t>Cargo Trailer</t>
        </is>
      </c>
      <c r="M173" s="26" t="n"/>
      <c r="N173" s="26" t="inlineStr"/>
      <c r="O173" s="26" t="inlineStr"/>
      <c r="P173" s="26" t="n"/>
      <c r="Q173" s="26" t="inlineStr"/>
      <c r="R173" s="26" t="n"/>
      <c r="S173" s="26" t="inlineStr"/>
      <c r="T173" s="26" t="inlineStr"/>
      <c r="U173" s="26" t="inlineStr"/>
      <c r="V173" s="26" t="inlineStr">
        <is>
          <t>Ministry of Defence procurement for lightweight trailers up to 750kg capacity. Procurement was cancelled on 30/03/2026.</t>
        </is>
      </c>
      <c r="W173" s="26" t="inlineStr">
        <is>
          <t>CZ-NEN</t>
        </is>
      </c>
      <c r="X173" s="29" t="inlineStr">
        <is>
          <t>https://nen.nipez.cz/verejne-zakazky/detail-zakazky/N006-26-V00005076</t>
        </is>
      </c>
    </row>
    <row r="174" ht="45" customHeight="1">
      <c r="B174" s="26" t="inlineStr">
        <is>
          <t>CZ-N006/26/V00000758</t>
        </is>
      </c>
      <c r="C174" s="26" t="inlineStr">
        <is>
          <t>Tractor with Semi-trailer - Tank Transporter II</t>
        </is>
      </c>
      <c r="D174" s="26" t="inlineStr">
        <is>
          <t>Czech Republic</t>
        </is>
      </c>
      <c r="E174" s="26" t="inlineStr">
        <is>
          <t>Ministerstvo obrany CR</t>
        </is>
      </c>
      <c r="F174" s="27" t="n">
        <v>46023</v>
      </c>
      <c r="G174" s="26" t="inlineStr">
        <is>
          <t>Open</t>
        </is>
      </c>
      <c r="H174" s="26" t="n"/>
      <c r="I174" s="26" t="inlineStr"/>
      <c r="J174" s="26" t="n"/>
      <c r="K174" s="26" t="inlineStr">
        <is>
          <t>Heavy-duty tank transport semi-trailer (70t+ capacity)</t>
        </is>
      </c>
      <c r="L174" s="26" t="inlineStr">
        <is>
          <t>Low-Bed</t>
        </is>
      </c>
      <c r="M174" s="28" t="n">
        <v>6</v>
      </c>
      <c r="N174" s="26" t="inlineStr"/>
      <c r="O174" s="26" t="inlineStr"/>
      <c r="P174" s="26" t="n"/>
      <c r="Q174" s="26" t="inlineStr">
        <is>
          <t>6x tractor units</t>
        </is>
      </c>
      <c r="R174" s="28" t="n">
        <v>6</v>
      </c>
      <c r="S174" s="26" t="inlineStr"/>
      <c r="T174" s="26" t="inlineStr"/>
      <c r="U174" s="26" t="inlineStr"/>
      <c r="V174" s="26" t="inlineStr">
        <is>
          <t>Delivery of 6 semi-trailer sets (6x tractor units and 6x semi-trailers) for transporting tanks with minimum 70t capacity</t>
        </is>
      </c>
      <c r="W174" s="26" t="inlineStr">
        <is>
          <t>CZ-NEN</t>
        </is>
      </c>
      <c r="X174" s="29" t="inlineStr">
        <is>
          <t>https://nen.nipez.cz/verejne-zakazky/detail-zakazky/N006-26-V00000758</t>
        </is>
      </c>
    </row>
    <row r="175" ht="45" customHeight="1">
      <c r="B175" s="26" t="inlineStr">
        <is>
          <t>CZ-N006/24/V00015605</t>
        </is>
      </c>
      <c r="C175" s="26" t="inlineStr">
        <is>
          <t>Tractor Units with 50+ Ton Capacity Semi-trailers</t>
        </is>
      </c>
      <c r="D175" s="26" t="inlineStr">
        <is>
          <t>Czech Republic</t>
        </is>
      </c>
      <c r="E175" s="26" t="inlineStr">
        <is>
          <t>Ministerstvo obrany CR</t>
        </is>
      </c>
      <c r="F175" s="27" t="n">
        <v>45292</v>
      </c>
      <c r="G175" s="26" t="inlineStr">
        <is>
          <t>Closed</t>
        </is>
      </c>
      <c r="H175" s="26" t="n"/>
      <c r="I175" s="26" t="inlineStr"/>
      <c r="J175" s="26" t="n"/>
      <c r="K175" s="26" t="inlineStr">
        <is>
          <t>Heavy-duty semi-trailer 50+ ton capacity</t>
        </is>
      </c>
      <c r="L175" s="26" t="inlineStr">
        <is>
          <t>Semitrailer</t>
        </is>
      </c>
      <c r="M175" s="28" t="n">
        <v>5</v>
      </c>
      <c r="N175" s="26" t="inlineStr"/>
      <c r="O175" s="26" t="inlineStr"/>
      <c r="P175" s="26" t="n"/>
      <c r="Q175" s="26" t="inlineStr">
        <is>
          <t>5x tractor units</t>
        </is>
      </c>
      <c r="R175" s="28" t="n">
        <v>5</v>
      </c>
      <c r="S175" s="26" t="inlineStr"/>
      <c r="T175" s="26" t="inlineStr"/>
      <c r="U175" s="26" t="inlineStr"/>
      <c r="V175" s="26" t="inlineStr">
        <is>
          <t>Procurement of 5 trailer sets, consisting of 5 tractor units and 5 semi-trailers with minimum 50-ton capacity for military transport operations.</t>
        </is>
      </c>
      <c r="W175" s="26" t="inlineStr">
        <is>
          <t>CZ-NEN</t>
        </is>
      </c>
      <c r="X175" s="29" t="inlineStr">
        <is>
          <t>https://nen.nipez.cz/verejne-zakazky/detail-zakazky/N006-24-V00015605</t>
        </is>
      </c>
    </row>
    <row r="176" ht="45" customHeight="1">
      <c r="B176" s="26" t="inlineStr">
        <is>
          <t>CZ-N006/25/V00014955</t>
        </is>
      </c>
      <c r="C176" s="26" t="inlineStr">
        <is>
          <t>Road Towing Vehicles with Semi-trailers Min. 50t Capacity 2026</t>
        </is>
      </c>
      <c r="D176" s="26" t="inlineStr">
        <is>
          <t>Czech Republic</t>
        </is>
      </c>
      <c r="E176" s="26" t="inlineStr">
        <is>
          <t>Ministerstvo obrany CR</t>
        </is>
      </c>
      <c r="F176" s="27" t="n">
        <v>45658</v>
      </c>
      <c r="G176" s="26" t="inlineStr">
        <is>
          <t>Closed</t>
        </is>
      </c>
      <c r="H176" s="26" t="n"/>
      <c r="I176" s="26" t="inlineStr"/>
      <c r="J176" s="26" t="n"/>
      <c r="K176" s="26" t="inlineStr">
        <is>
          <t>Heavy-duty semi-trailer min. 50t capacity</t>
        </is>
      </c>
      <c r="L176" s="26" t="inlineStr">
        <is>
          <t>Semitrailer</t>
        </is>
      </c>
      <c r="M176" s="28" t="n">
        <v>5</v>
      </c>
      <c r="N176" s="26" t="inlineStr"/>
      <c r="O176" s="26" t="inlineStr"/>
      <c r="P176" s="26" t="n"/>
      <c r="Q176" s="26" t="inlineStr">
        <is>
          <t>5x tractor units</t>
        </is>
      </c>
      <c r="R176" s="28" t="n">
        <v>5</v>
      </c>
      <c r="S176" s="26" t="inlineStr"/>
      <c r="T176" s="26" t="inlineStr"/>
      <c r="U176" s="26" t="inlineStr"/>
      <c r="V176" s="26" t="inlineStr">
        <is>
          <t>Procurement of 5 sets of semi-trailer combinations (5x tractor units and 5x semi-trailers) with minimum 50-ton capacity for the Ministry of Defence</t>
        </is>
      </c>
      <c r="W176" s="26" t="inlineStr">
        <is>
          <t>CZ-NEN</t>
        </is>
      </c>
      <c r="X176" s="29" t="inlineStr">
        <is>
          <t>https://nen.nipez.cz/verejne-zakazky/detail-zakazky/N006-25-V00014955</t>
        </is>
      </c>
    </row>
    <row r="177" ht="45" customHeight="1">
      <c r="B177" s="26" t="inlineStr">
        <is>
          <t>CZ-N006/25/V00006089</t>
        </is>
      </c>
      <c r="C177" s="26" t="inlineStr">
        <is>
          <t>Tank Trailer Systems for Fuel - Purchase II</t>
        </is>
      </c>
      <c r="D177" s="26" t="inlineStr">
        <is>
          <t>Czech Republic</t>
        </is>
      </c>
      <c r="E177" s="26" t="inlineStr">
        <is>
          <t>Ministerstvo obrany CR</t>
        </is>
      </c>
      <c r="F177" s="27" t="n">
        <v>45658</v>
      </c>
      <c r="G177" s="26" t="inlineStr">
        <is>
          <t>Closed</t>
        </is>
      </c>
      <c r="H177" s="26" t="n"/>
      <c r="I177" s="26" t="inlineStr"/>
      <c r="J177" s="26" t="n"/>
      <c r="K177" s="26" t="inlineStr">
        <is>
          <t>Fuel tank semitrailer with pumping and dispensing system</t>
        </is>
      </c>
      <c r="L177" s="26" t="inlineStr">
        <is>
          <t>Tank Trailer</t>
        </is>
      </c>
      <c r="M177" s="28" t="n">
        <v>3</v>
      </c>
      <c r="N177" s="26" t="inlineStr"/>
      <c r="O177" s="26" t="inlineStr"/>
      <c r="P177" s="26" t="n"/>
      <c r="Q177" s="26" t="inlineStr"/>
      <c r="R177" s="26" t="n"/>
      <c r="S177" s="26" t="inlineStr"/>
      <c r="T177" s="26" t="inlineStr"/>
      <c r="U177" s="26" t="inlineStr"/>
      <c r="V177" s="26" t="inlineStr">
        <is>
          <t>Procurement of 3 tank trailer systems for fuel with pumping, measuring and dispensing equipment in commercial configuration.</t>
        </is>
      </c>
      <c r="W177" s="26" t="inlineStr">
        <is>
          <t>CZ-NEN</t>
        </is>
      </c>
      <c r="X177" s="29" t="inlineStr">
        <is>
          <t>https://nen.nipez.cz/verejne-zakazky/detail-zakazky/N006-25-V00006089</t>
        </is>
      </c>
    </row>
    <row r="178" ht="45" customHeight="1">
      <c r="B178" s="26" t="inlineStr">
        <is>
          <t>CZ-N006/23/V00001906</t>
        </is>
      </c>
      <c r="C178" s="26" t="inlineStr">
        <is>
          <t>DNS Tractor with Semi-trailer Min. 50 Ton Capacity 2024-2027</t>
        </is>
      </c>
      <c r="D178" s="26" t="inlineStr">
        <is>
          <t>Czech Republic</t>
        </is>
      </c>
      <c r="E178" s="26" t="inlineStr">
        <is>
          <t>Ministerstvo obrany CR</t>
        </is>
      </c>
      <c r="F178" s="27" t="n">
        <v>44927</v>
      </c>
      <c r="G178" s="26" t="inlineStr">
        <is>
          <t>Closed</t>
        </is>
      </c>
      <c r="H178" s="26" t="n"/>
      <c r="I178" s="26" t="inlineStr"/>
      <c r="J178" s="26" t="n"/>
      <c r="K178" s="26" t="inlineStr">
        <is>
          <t>Low-bed hydraulically steered semi-trailer (min. 50 ton capacity)</t>
        </is>
      </c>
      <c r="L178" s="26" t="inlineStr">
        <is>
          <t>Low-Bed</t>
        </is>
      </c>
      <c r="M178" s="28" t="n">
        <v>18</v>
      </c>
      <c r="N178" s="26" t="inlineStr"/>
      <c r="O178" s="26" t="inlineStr"/>
      <c r="P178" s="26" t="n"/>
      <c r="Q178" s="26" t="inlineStr">
        <is>
          <t>18x tractor unit</t>
        </is>
      </c>
      <c r="R178" s="28" t="n">
        <v>18</v>
      </c>
      <c r="S178" s="26" t="inlineStr">
        <is>
          <t>48 months</t>
        </is>
      </c>
      <c r="T178" s="26" t="inlineStr"/>
      <c r="U178" s="26" t="inlineStr"/>
      <c r="V178" s="26" t="inlineStr">
        <is>
          <t>Procurement of 18 semi-trailer combinations (18 tractors and 18 low-bed, hydraulically steered semi-trailers) to ensure reliable, fast, easily maneuverable, modern and safe transport of materials and equipment for Czech Armed Forces units.</t>
        </is>
      </c>
      <c r="W178" s="26" t="inlineStr">
        <is>
          <t>CZ-NEN</t>
        </is>
      </c>
      <c r="X178" s="29" t="inlineStr">
        <is>
          <t>https://nen.nipez.cz/verejne-zakazky/detail-zakazky/N006-23-V00001906</t>
        </is>
      </c>
    </row>
    <row r="179" ht="45" customHeight="1">
      <c r="B179" s="26" t="inlineStr">
        <is>
          <t>CZ-N006/25/V00015642</t>
        </is>
      </c>
      <c r="C179" s="26" t="inlineStr">
        <is>
          <t>Heavy-duty Low-bed Trailers 32+ ton capacity - 22 units</t>
        </is>
      </c>
      <c r="D179" s="26" t="inlineStr">
        <is>
          <t>Czech Republic</t>
        </is>
      </c>
      <c r="E179" s="26" t="inlineStr">
        <is>
          <t>Ministerstvo obrany CR</t>
        </is>
      </c>
      <c r="F179" s="27" t="n">
        <v>45658</v>
      </c>
      <c r="G179" s="26" t="inlineStr">
        <is>
          <t>Closed</t>
        </is>
      </c>
      <c r="H179" s="26" t="n"/>
      <c r="I179" s="26" t="inlineStr"/>
      <c r="J179" s="26" t="n"/>
      <c r="K179" s="26" t="inlineStr">
        <is>
          <t>Heavy-duty low-bed trailer 32+ ton capacity</t>
        </is>
      </c>
      <c r="L179" s="26" t="inlineStr">
        <is>
          <t>Low-Bed</t>
        </is>
      </c>
      <c r="M179" s="28" t="n">
        <v>22</v>
      </c>
      <c r="N179" s="26" t="inlineStr"/>
      <c r="O179" s="26" t="inlineStr"/>
      <c r="P179" s="26" t="n"/>
      <c r="Q179" s="26" t="inlineStr"/>
      <c r="R179" s="26" t="n"/>
      <c r="S179" s="26" t="inlineStr"/>
      <c r="T179" s="26" t="inlineStr"/>
      <c r="U179" s="26" t="inlineStr"/>
      <c r="V179" s="26" t="inlineStr">
        <is>
          <t>Procurement of 22 heavy-duty low-bed trailers with minimum 32-ton load capacity for Czech Ministry of Defence. Contract awarded through dynamic purchasing system.</t>
        </is>
      </c>
      <c r="W179" s="26" t="inlineStr">
        <is>
          <t>CZ-NEN</t>
        </is>
      </c>
      <c r="X179" s="29" t="inlineStr">
        <is>
          <t>https://nen.nipez.cz/verejne-zakazky/detail-zakazky/N006-25-V00015642</t>
        </is>
      </c>
    </row>
    <row r="180" ht="45" customHeight="1">
      <c r="B180" s="26" t="inlineStr">
        <is>
          <t>CZ-N006/23/V00000559</t>
        </is>
      </c>
      <c r="C180" s="26" t="inlineStr">
        <is>
          <t>DNS - Heavy-Duty Trailers 2024-2026</t>
        </is>
      </c>
      <c r="D180" s="26" t="inlineStr">
        <is>
          <t>Czech Republic</t>
        </is>
      </c>
      <c r="E180" s="26" t="inlineStr">
        <is>
          <t>Ministerstvo obrany CR</t>
        </is>
      </c>
      <c r="F180" s="27" t="n">
        <v>44927</v>
      </c>
      <c r="G180" s="26" t="inlineStr">
        <is>
          <t>Closed</t>
        </is>
      </c>
      <c r="H180" s="26" t="n"/>
      <c r="I180" s="26" t="inlineStr"/>
      <c r="J180" s="26" t="n"/>
      <c r="K180" s="26" t="inlineStr">
        <is>
          <t>Heavy-duty trailer minimum 32-ton capacity</t>
        </is>
      </c>
      <c r="L180" s="26" t="inlineStr">
        <is>
          <t>Low-Bed</t>
        </is>
      </c>
      <c r="M180" s="26" t="n"/>
      <c r="N180" s="26" t="inlineStr"/>
      <c r="O180" s="26" t="inlineStr"/>
      <c r="P180" s="26" t="n"/>
      <c r="Q180" s="26" t="inlineStr"/>
      <c r="R180" s="26" t="n"/>
      <c r="S180" s="26" t="inlineStr">
        <is>
          <t>36 months</t>
        </is>
      </c>
      <c r="T180" s="26" t="inlineStr"/>
      <c r="U180" s="26" t="inlineStr"/>
      <c r="V180" s="26" t="inlineStr">
        <is>
          <t>Framework agreement for supply of heavy-duty trailers with minimum 32-ton capacity for Czech Ministry of Defence. Contract value 100 million CZK (approximately 4.2 million EUR) covering 2024-2026 period.</t>
        </is>
      </c>
      <c r="W180" s="26" t="inlineStr">
        <is>
          <t>CZ-NEN</t>
        </is>
      </c>
      <c r="X180" s="29" t="inlineStr">
        <is>
          <t>https://nen.nipez.cz/verejne-zakazky/detail-zakazky/N006-23-V00000559</t>
        </is>
      </c>
    </row>
    <row r="181" ht="45" customHeight="1">
      <c r="B181" s="26" t="inlineStr">
        <is>
          <t>CZ-N006/24/V00016218</t>
        </is>
      </c>
      <c r="C181" s="26" t="inlineStr">
        <is>
          <t>Low-bed trailers 32+ ton capacity - 17 units</t>
        </is>
      </c>
      <c r="D181" s="26" t="inlineStr">
        <is>
          <t>Czech Republic</t>
        </is>
      </c>
      <c r="E181" s="26" t="inlineStr">
        <is>
          <t>Ministerstvo obrany CR</t>
        </is>
      </c>
      <c r="F181" s="27" t="n">
        <v>45292</v>
      </c>
      <c r="G181" s="26" t="inlineStr">
        <is>
          <t>Closed</t>
        </is>
      </c>
      <c r="H181" s="26" t="n"/>
      <c r="I181" s="26" t="inlineStr"/>
      <c r="J181" s="26" t="n"/>
      <c r="K181" s="26" t="inlineStr">
        <is>
          <t>Low-bed trailer 32+ ton capacity</t>
        </is>
      </c>
      <c r="L181" s="26" t="inlineStr">
        <is>
          <t>Low-Bed</t>
        </is>
      </c>
      <c r="M181" s="28" t="n">
        <v>17</v>
      </c>
      <c r="N181" s="26" t="inlineStr"/>
      <c r="O181" s="26" t="inlineStr"/>
      <c r="P181" s="26" t="n"/>
      <c r="Q181" s="26" t="inlineStr"/>
      <c r="R181" s="26" t="n"/>
      <c r="S181" s="26" t="inlineStr"/>
      <c r="T181" s="26" t="inlineStr"/>
      <c r="U181" s="26" t="inlineStr"/>
      <c r="V181" s="26" t="inlineStr">
        <is>
          <t>Procurement for delivery of 17 low-bed trailers with minimum capacity of 32 tons by Czech Ministry of Defence</t>
        </is>
      </c>
      <c r="W181" s="26" t="inlineStr">
        <is>
          <t>CZ-NEN</t>
        </is>
      </c>
      <c r="X181" s="29" t="inlineStr">
        <is>
          <t>https://nen.nipez.cz/verejne-zakazky/detail-zakazky/N006-24-V00016218</t>
        </is>
      </c>
    </row>
    <row r="182" ht="45" customHeight="1">
      <c r="B182" s="26" t="inlineStr">
        <is>
          <t>CZ-N006/23/V00017787</t>
        </is>
      </c>
      <c r="C182" s="26" t="inlineStr">
        <is>
          <t>Low-bed trailers - 10 units</t>
        </is>
      </c>
      <c r="D182" s="26" t="inlineStr">
        <is>
          <t>Czech Republic</t>
        </is>
      </c>
      <c r="E182" s="26" t="inlineStr">
        <is>
          <t>Ministerstvo obrany CR</t>
        </is>
      </c>
      <c r="F182" s="27" t="n">
        <v>44927</v>
      </c>
      <c r="G182" s="26" t="inlineStr">
        <is>
          <t>Closed</t>
        </is>
      </c>
      <c r="H182" s="26" t="n"/>
      <c r="I182" s="26" t="inlineStr"/>
      <c r="J182" s="26" t="n"/>
      <c r="K182" s="26" t="inlineStr">
        <is>
          <t>Low-bed trailer 32t minimum capacity</t>
        </is>
      </c>
      <c r="L182" s="26" t="inlineStr">
        <is>
          <t>Low-Bed</t>
        </is>
      </c>
      <c r="M182" s="28" t="n">
        <v>10</v>
      </c>
      <c r="N182" s="26" t="inlineStr"/>
      <c r="O182" s="26" t="inlineStr"/>
      <c r="P182" s="26" t="n"/>
      <c r="Q182" s="26" t="inlineStr"/>
      <c r="R182" s="26" t="n"/>
      <c r="S182" s="26" t="inlineStr"/>
      <c r="T182" s="26" t="inlineStr"/>
      <c r="U182" s="26" t="inlineStr"/>
      <c r="V182" s="26" t="inlineStr">
        <is>
          <t>Procurement for delivery of 10 low-bed trailers with minimum load capacity of 32 tons by Czech Ministry of Defence</t>
        </is>
      </c>
      <c r="W182" s="26" t="inlineStr">
        <is>
          <t>CZ-NEN</t>
        </is>
      </c>
      <c r="X182" s="29" t="inlineStr">
        <is>
          <t>https://nen.nipez.cz/verejne-zakazky/detail-zakazky/N006-23-V00017787</t>
        </is>
      </c>
    </row>
    <row r="183" ht="45" customHeight="1">
      <c r="B183" s="26" t="inlineStr">
        <is>
          <t>CZ-N006/22/V00016712</t>
        </is>
      </c>
      <c r="C183" s="26" t="inlineStr">
        <is>
          <t>Low-bed trailer for towing MRAP category vehicles</t>
        </is>
      </c>
      <c r="D183" s="26" t="inlineStr">
        <is>
          <t>Czech Republic</t>
        </is>
      </c>
      <c r="E183" s="26" t="inlineStr">
        <is>
          <t>Ministerstvo obrany CR</t>
        </is>
      </c>
      <c r="F183" s="27" t="n">
        <v>44562</v>
      </c>
      <c r="G183" s="26" t="inlineStr">
        <is>
          <t>Closed</t>
        </is>
      </c>
      <c r="H183" s="26" t="n"/>
      <c r="I183" s="26" t="inlineStr"/>
      <c r="J183" s="26" t="n"/>
      <c r="K183" s="26" t="inlineStr">
        <is>
          <t>Low-bed trailer for MRAP vehicle transport</t>
        </is>
      </c>
      <c r="L183" s="26" t="inlineStr">
        <is>
          <t>Low-Bed</t>
        </is>
      </c>
      <c r="M183" s="28" t="n">
        <v>2</v>
      </c>
      <c r="N183" s="26" t="inlineStr"/>
      <c r="O183" s="26" t="inlineStr"/>
      <c r="P183" s="26" t="n"/>
      <c r="Q183" s="26" t="inlineStr"/>
      <c r="R183" s="26" t="n"/>
      <c r="S183" s="26" t="inlineStr"/>
      <c r="T183" s="26" t="inlineStr"/>
      <c r="U183" s="26" t="inlineStr"/>
      <c r="V183" s="26" t="inlineStr">
        <is>
          <t>Procurement of 2 units of trailers attachable to Czech Armed Forces vehicles for transport of mobile and immobile military equipment in MRAP category</t>
        </is>
      </c>
      <c r="W183" s="26" t="inlineStr">
        <is>
          <t>CZ-NEN</t>
        </is>
      </c>
      <c r="X183" s="29" t="inlineStr">
        <is>
          <t>https://nen.nipez.cz/verejne-zakazky/detail-zakazky/N006-22-V00016712</t>
        </is>
      </c>
    </row>
    <row r="184" ht="45" customHeight="1">
      <c r="B184" s="26" t="inlineStr">
        <is>
          <t>CZ-N006/22/V00027001</t>
        </is>
      </c>
      <c r="C184" s="26" t="inlineStr">
        <is>
          <t>Field Kitchen Water Storage Trailers</t>
        </is>
      </c>
      <c r="D184" s="26" t="inlineStr">
        <is>
          <t>Czech Republic</t>
        </is>
      </c>
      <c r="E184" s="26" t="inlineStr">
        <is>
          <t>Ministerstvo obrany CR</t>
        </is>
      </c>
      <c r="F184" s="27" t="n">
        <v>44562</v>
      </c>
      <c r="G184" s="26" t="inlineStr">
        <is>
          <t>Closed</t>
        </is>
      </c>
      <c r="H184" s="26" t="n"/>
      <c r="I184" s="26" t="inlineStr"/>
      <c r="J184" s="26" t="n"/>
      <c r="K184" s="26" t="inlineStr">
        <is>
          <t>2000L water tank trailer on single-axle off-road chassis</t>
        </is>
      </c>
      <c r="L184" s="26" t="inlineStr">
        <is>
          <t>Tank Trailer</t>
        </is>
      </c>
      <c r="M184" s="26" t="n"/>
      <c r="N184" s="26" t="inlineStr"/>
      <c r="O184" s="26" t="inlineStr"/>
      <c r="P184" s="26" t="n"/>
      <c r="Q184" s="26" t="inlineStr"/>
      <c r="R184" s="26" t="n"/>
      <c r="S184" s="26" t="inlineStr"/>
      <c r="T184" s="26" t="inlineStr"/>
      <c r="U184" s="26" t="inlineStr"/>
      <c r="V184" s="26" t="inlineStr">
        <is>
          <t>Supply of water tank trailers with 2000 liter capacity on single-axle off-road chassis for field kitchen water storage operations</t>
        </is>
      </c>
      <c r="W184" s="26" t="inlineStr">
        <is>
          <t>CZ-NEN</t>
        </is>
      </c>
      <c r="X184" s="29" t="inlineStr">
        <is>
          <t>https://nen.nipez.cz/verejne-zakazky/detail-zakazky/N006-22-V00027001</t>
        </is>
      </c>
    </row>
    <row r="185" ht="45" customHeight="1">
      <c r="B185" s="26" t="inlineStr">
        <is>
          <t>CZ-N006/22/V00026992</t>
        </is>
      </c>
      <c r="C185" s="26" t="inlineStr">
        <is>
          <t>Field Kitchen - Refrigerated Freezer Trailers</t>
        </is>
      </c>
      <c r="D185" s="26" t="inlineStr">
        <is>
          <t>Czech Republic</t>
        </is>
      </c>
      <c r="E185" s="26" t="inlineStr">
        <is>
          <t>Ministerstvo obrany CR</t>
        </is>
      </c>
      <c r="F185" s="27" t="n">
        <v>44562</v>
      </c>
      <c r="G185" s="26" t="inlineStr">
        <is>
          <t>Closed</t>
        </is>
      </c>
      <c r="H185" s="26" t="n"/>
      <c r="I185" s="26" t="inlineStr"/>
      <c r="J185" s="26" t="n"/>
      <c r="K185" s="26" t="inlineStr">
        <is>
          <t>Dual-chamber refrigerated trailer on single-axle all-terrain chassis</t>
        </is>
      </c>
      <c r="L185" s="26" t="inlineStr">
        <is>
          <t>Field Kitchen</t>
        </is>
      </c>
      <c r="M185" s="26" t="n"/>
      <c r="N185" s="26" t="inlineStr"/>
      <c r="O185" s="26" t="inlineStr"/>
      <c r="P185" s="26" t="n"/>
      <c r="Q185" s="26" t="inlineStr"/>
      <c r="R185" s="26" t="n"/>
      <c r="S185" s="26" t="inlineStr"/>
      <c r="T185" s="26" t="inlineStr"/>
      <c r="U185" s="26" t="inlineStr"/>
      <c r="V185" s="26" t="inlineStr">
        <is>
          <t>Supply of dual-chamber refrigerated trailers on single-axle all-terrain chassis for transport, storage and preservation of food in chilled or frozen state</t>
        </is>
      </c>
      <c r="W185" s="26" t="inlineStr">
        <is>
          <t>CZ-NEN</t>
        </is>
      </c>
      <c r="X185" s="29" t="inlineStr">
        <is>
          <t>https://nen.nipez.cz/verejne-zakazky/detail-zakazky/N006-22-V00026992</t>
        </is>
      </c>
    </row>
    <row r="186" ht="45" customHeight="1">
      <c r="B186" s="26" t="inlineStr">
        <is>
          <t>CZ-N006/22/V00026975</t>
        </is>
      </c>
      <c r="C186" s="26" t="inlineStr">
        <is>
          <t>Field Kitchen - Trailer Purchase</t>
        </is>
      </c>
      <c r="D186" s="26" t="inlineStr">
        <is>
          <t>Czech Republic</t>
        </is>
      </c>
      <c r="E186" s="26" t="inlineStr">
        <is>
          <t>Ministerstvo obrany CR</t>
        </is>
      </c>
      <c r="F186" s="27" t="n">
        <v>44562</v>
      </c>
      <c r="G186" s="26" t="inlineStr">
        <is>
          <t>Closed</t>
        </is>
      </c>
      <c r="H186" s="26" t="n"/>
      <c r="I186" s="26" t="inlineStr"/>
      <c r="J186" s="26" t="n"/>
      <c r="K186" s="26" t="inlineStr">
        <is>
          <t>Single-axle terrain trailer with modular field kitchen</t>
        </is>
      </c>
      <c r="L186" s="26" t="inlineStr">
        <is>
          <t>Field Kitchen</t>
        </is>
      </c>
      <c r="M186" s="26" t="n"/>
      <c r="N186" s="26" t="inlineStr"/>
      <c r="O186" s="26" t="inlineStr"/>
      <c r="P186" s="26" t="n"/>
      <c r="Q186" s="26" t="inlineStr"/>
      <c r="R186" s="26" t="n"/>
      <c r="S186" s="26" t="inlineStr"/>
      <c r="T186" s="26" t="inlineStr"/>
      <c r="U186" s="26" t="inlineStr"/>
      <c r="V186" s="26" t="inlineStr">
        <is>
          <t>Supply of modular field kitchens on single-axle terrain trailers for the Czech Ministry of Defence. Framework agreement for military mobile cooking equipment mounted on trailer chassis.</t>
        </is>
      </c>
      <c r="W186" s="26" t="inlineStr">
        <is>
          <t>CZ-NEN</t>
        </is>
      </c>
      <c r="X186" s="29" t="inlineStr">
        <is>
          <t>https://nen.nipez.cz/verejne-zakazky/detail-zakazky/N006-22-V00026975</t>
        </is>
      </c>
    </row>
    <row r="187" ht="45" customHeight="1">
      <c r="B187" s="26" t="inlineStr">
        <is>
          <t>CZ-N006/25/V00002312</t>
        </is>
      </c>
      <c r="C187" s="26" t="inlineStr">
        <is>
          <t>Field Kitchen Water Storage Trailers 2000L</t>
        </is>
      </c>
      <c r="D187" s="26" t="inlineStr">
        <is>
          <t>Czech Republic</t>
        </is>
      </c>
      <c r="E187" s="26" t="inlineStr">
        <is>
          <t>Ministerstvo obrany CR</t>
        </is>
      </c>
      <c r="F187" s="27" t="n">
        <v>45658</v>
      </c>
      <c r="G187" s="26" t="inlineStr">
        <is>
          <t>Closed</t>
        </is>
      </c>
      <c r="H187" s="26" t="n"/>
      <c r="I187" s="26" t="inlineStr"/>
      <c r="J187" s="26" t="n"/>
      <c r="K187" s="26" t="inlineStr">
        <is>
          <t>2000L water tank trailer on single-axle off-road chassis</t>
        </is>
      </c>
      <c r="L187" s="26" t="inlineStr">
        <is>
          <t>Tank Trailer</t>
        </is>
      </c>
      <c r="M187" s="26" t="n"/>
      <c r="N187" s="26" t="inlineStr"/>
      <c r="O187" s="26" t="inlineStr"/>
      <c r="P187" s="26" t="n"/>
      <c r="Q187" s="26" t="inlineStr"/>
      <c r="R187" s="26" t="n"/>
      <c r="S187" s="26" t="inlineStr"/>
      <c r="T187" s="26" t="inlineStr"/>
      <c r="U187" s="26" t="inlineStr"/>
      <c r="V187" s="26" t="inlineStr">
        <is>
          <t>Supply of trailers with 2000-liter water tanks mounted on single-axle off-road chassis for field kitchen water storage operations by Czech Ministry of Defence</t>
        </is>
      </c>
      <c r="W187" s="26" t="inlineStr">
        <is>
          <t>CZ-NEN</t>
        </is>
      </c>
      <c r="X187" s="29" t="inlineStr">
        <is>
          <t>https://nen.nipez.cz/verejne-zakazky/detail-zakazky/N006-25-V00002312</t>
        </is>
      </c>
    </row>
    <row r="188" ht="45" customHeight="1">
      <c r="B188" s="26" t="inlineStr">
        <is>
          <t>CZ-N006/25/V00002308</t>
        </is>
      </c>
      <c r="C188" s="26" t="inlineStr">
        <is>
          <t>Field Kitchen - Refrigerated Freezer Trailers Purchase</t>
        </is>
      </c>
      <c r="D188" s="26" t="inlineStr">
        <is>
          <t>Czech Republic</t>
        </is>
      </c>
      <c r="E188" s="26" t="inlineStr">
        <is>
          <t>Ministerstvo obrany CR</t>
        </is>
      </c>
      <c r="F188" s="27" t="n">
        <v>45658</v>
      </c>
      <c r="G188" s="26" t="inlineStr">
        <is>
          <t>Closed</t>
        </is>
      </c>
      <c r="H188" s="26" t="n"/>
      <c r="I188" s="26" t="inlineStr"/>
      <c r="J188" s="26" t="n"/>
      <c r="K188" s="26" t="inlineStr">
        <is>
          <t>Two-compartment refrigerated trailer on single-axle off-road chassis</t>
        </is>
      </c>
      <c r="L188" s="26" t="inlineStr">
        <is>
          <t>Field Kitchen</t>
        </is>
      </c>
      <c r="M188" s="26" t="n"/>
      <c r="N188" s="26" t="inlineStr"/>
      <c r="O188" s="26" t="inlineStr"/>
      <c r="P188" s="26" t="n"/>
      <c r="Q188" s="26" t="inlineStr"/>
      <c r="R188" s="26" t="n"/>
      <c r="S188" s="26" t="inlineStr"/>
      <c r="T188" s="26" t="inlineStr"/>
      <c r="U188" s="26" t="inlineStr"/>
      <c r="V188" s="26" t="inlineStr">
        <is>
          <t>Supply of two-compartment refrigerated trailers on single-axle off-road chassis for transport, storage and preservation of food in chilled or frozen state</t>
        </is>
      </c>
      <c r="W188" s="26" t="inlineStr">
        <is>
          <t>CZ-NEN</t>
        </is>
      </c>
      <c r="X188" s="29" t="inlineStr">
        <is>
          <t>https://nen.nipez.cz/verejne-zakazky/detail-zakazky/N006-25-V00002308</t>
        </is>
      </c>
    </row>
    <row r="189" ht="45" customHeight="1">
      <c r="B189" s="26" t="inlineStr">
        <is>
          <t>CZ-N006/24/V00040322</t>
        </is>
      </c>
      <c r="C189" s="26" t="inlineStr">
        <is>
          <t>Field Kitchen Trailers - Single Axle Off-Road</t>
        </is>
      </c>
      <c r="D189" s="26" t="inlineStr">
        <is>
          <t>Czech Republic</t>
        </is>
      </c>
      <c r="E189" s="26" t="inlineStr">
        <is>
          <t>Ministerstvo obrany CR</t>
        </is>
      </c>
      <c r="F189" s="27" t="n">
        <v>45292</v>
      </c>
      <c r="G189" s="26" t="inlineStr">
        <is>
          <t>Closed</t>
        </is>
      </c>
      <c r="H189" s="26" t="n"/>
      <c r="I189" s="26" t="inlineStr"/>
      <c r="J189" s="26" t="n"/>
      <c r="K189" s="26" t="inlineStr">
        <is>
          <t>Single-axle off-road field kitchen trailer</t>
        </is>
      </c>
      <c r="L189" s="26" t="inlineStr">
        <is>
          <t>Field Kitchen</t>
        </is>
      </c>
      <c r="M189" s="26" t="n"/>
      <c r="N189" s="26" t="inlineStr"/>
      <c r="O189" s="26" t="inlineStr"/>
      <c r="P189" s="26" t="n"/>
      <c r="Q189" s="26" t="inlineStr"/>
      <c r="R189" s="26" t="n"/>
      <c r="S189" s="26" t="inlineStr"/>
      <c r="T189" s="26" t="inlineStr"/>
      <c r="U189" s="26" t="inlineStr"/>
      <c r="V189" s="26" t="inlineStr">
        <is>
          <t>Supply of modular field kitchens on single-axle off-road trailers for the Czech Ministry of Defence, awarded through framework agreement without renewed competition.</t>
        </is>
      </c>
      <c r="W189" s="26" t="inlineStr">
        <is>
          <t>CZ-NEN</t>
        </is>
      </c>
      <c r="X189" s="29" t="inlineStr">
        <is>
          <t>https://nen.nipez.cz/verejne-zakazky/detail-zakazky/N006-24-V00040322</t>
        </is>
      </c>
    </row>
    <row r="190" ht="45" customHeight="1">
      <c r="B190" s="26" t="inlineStr">
        <is>
          <t>CZ-N006/24/V00040319</t>
        </is>
      </c>
      <c r="C190" s="26" t="inlineStr">
        <is>
          <t>Water Tank Trailers 2000L Single-Axle Off-Road</t>
        </is>
      </c>
      <c r="D190" s="26" t="inlineStr">
        <is>
          <t>Czech Republic</t>
        </is>
      </c>
      <c r="E190" s="26" t="inlineStr">
        <is>
          <t>Ministerstvo obrany CR</t>
        </is>
      </c>
      <c r="F190" s="27" t="n">
        <v>45292</v>
      </c>
      <c r="G190" s="26" t="inlineStr">
        <is>
          <t>Closed</t>
        </is>
      </c>
      <c r="H190" s="26" t="n"/>
      <c r="I190" s="26" t="inlineStr"/>
      <c r="J190" s="26" t="n"/>
      <c r="K190" s="26" t="inlineStr">
        <is>
          <t>2000L water tank trailer on single-axle off-road chassis</t>
        </is>
      </c>
      <c r="L190" s="26" t="inlineStr">
        <is>
          <t>Tank Trailer</t>
        </is>
      </c>
      <c r="M190" s="26" t="n"/>
      <c r="N190" s="26" t="inlineStr"/>
      <c r="O190" s="26" t="inlineStr"/>
      <c r="P190" s="26" t="n"/>
      <c r="Q190" s="26" t="inlineStr"/>
      <c r="R190" s="26" t="n"/>
      <c r="S190" s="26" t="inlineStr"/>
      <c r="T190" s="26" t="inlineStr"/>
      <c r="U190" s="26" t="inlineStr"/>
      <c r="V190" s="26" t="inlineStr">
        <is>
          <t>Supply of trailers with 2000-liter water tanks on single-axle off-road chassis for field kitchen and water storage operations by Czech Ministry of Defence</t>
        </is>
      </c>
      <c r="W190" s="26" t="inlineStr">
        <is>
          <t>CZ-NEN</t>
        </is>
      </c>
      <c r="X190" s="29" t="inlineStr">
        <is>
          <t>https://nen.nipez.cz/verejne-zakazky/detail-zakazky/N006-24-V00040319</t>
        </is>
      </c>
    </row>
    <row r="191" ht="45" customHeight="1">
      <c r="B191" s="26" t="inlineStr">
        <is>
          <t>CZ-N006/24/V00040316</t>
        </is>
      </c>
      <c r="C191" s="26" t="inlineStr">
        <is>
          <t>Field Kitchen Cooling Trailers Procurement</t>
        </is>
      </c>
      <c r="D191" s="26" t="inlineStr">
        <is>
          <t>Czech Republic</t>
        </is>
      </c>
      <c r="E191" s="26" t="inlineStr">
        <is>
          <t>Ministerstvo obrany CR</t>
        </is>
      </c>
      <c r="F191" s="27" t="n">
        <v>45292</v>
      </c>
      <c r="G191" s="26" t="inlineStr">
        <is>
          <t>Closed</t>
        </is>
      </c>
      <c r="H191" s="26" t="n"/>
      <c r="I191" s="26" t="inlineStr"/>
      <c r="J191" s="26" t="n"/>
      <c r="K191" s="26" t="inlineStr">
        <is>
          <t>Two-chamber cooling trailer on single-axle off-road chassis</t>
        </is>
      </c>
      <c r="L191" s="26" t="inlineStr">
        <is>
          <t>Field Kitchen</t>
        </is>
      </c>
      <c r="M191" s="26" t="n"/>
      <c r="N191" s="26" t="inlineStr"/>
      <c r="O191" s="26" t="inlineStr"/>
      <c r="P191" s="26" t="n"/>
      <c r="Q191" s="26" t="inlineStr"/>
      <c r="R191" s="26" t="n"/>
      <c r="S191" s="26" t="inlineStr"/>
      <c r="T191" s="26" t="inlineStr"/>
      <c r="U191" s="26" t="inlineStr"/>
      <c r="V191" s="26" t="inlineStr">
        <is>
          <t>Supply of two-chamber cooling trailers on single-axle off-road chassis for transport, storage and preservation of food in chilled or frozen state for military field operations</t>
        </is>
      </c>
      <c r="W191" s="26" t="inlineStr">
        <is>
          <t>CZ-NEN</t>
        </is>
      </c>
      <c r="X191" s="29" t="inlineStr">
        <is>
          <t>https://nen.nipez.cz/verejne-zakazky/detail-zakazky/N006-24-V00040316</t>
        </is>
      </c>
    </row>
    <row r="192" ht="45" customHeight="1">
      <c r="B192" s="26" t="inlineStr">
        <is>
          <t>CZ-N006/19/V00008087</t>
        </is>
      </c>
      <c r="C192" s="26" t="inlineStr">
        <is>
          <t>Containerized Field Kitchen Systems</t>
        </is>
      </c>
      <c r="D192" s="26" t="inlineStr">
        <is>
          <t>Czech Republic</t>
        </is>
      </c>
      <c r="E192" s="26" t="inlineStr">
        <is>
          <t>Ministerstvo obrany CR</t>
        </is>
      </c>
      <c r="F192" s="27" t="n">
        <v>43466</v>
      </c>
      <c r="G192" s="26" t="inlineStr">
        <is>
          <t>Closed</t>
        </is>
      </c>
      <c r="H192" s="26" t="n"/>
      <c r="I192" s="26" t="inlineStr"/>
      <c r="J192" s="26" t="n"/>
      <c r="K192" s="26" t="inlineStr">
        <is>
          <t>Containerized field kitchen system</t>
        </is>
      </c>
      <c r="L192" s="26" t="inlineStr">
        <is>
          <t>Field Kitchen</t>
        </is>
      </c>
      <c r="M192" s="28" t="n">
        <v>2</v>
      </c>
      <c r="N192" s="26" t="inlineStr"/>
      <c r="O192" s="26" t="inlineStr"/>
      <c r="P192" s="26" t="n"/>
      <c r="Q192" s="26" t="inlineStr"/>
      <c r="R192" s="26" t="n"/>
      <c r="S192" s="26" t="inlineStr"/>
      <c r="T192" s="26" t="inlineStr"/>
      <c r="U192" s="26" t="inlineStr"/>
      <c r="V192" s="26" t="inlineStr">
        <is>
          <t>Supply of 2 sets of containerized field kitchens, each set consisting of 3 ISO 1C/1CC containers: cooking zone (hot), preparation zone (cold), and serving area. Mobile containers for special purposes for military use.</t>
        </is>
      </c>
      <c r="W192" s="26" t="inlineStr">
        <is>
          <t>CZ-NEN</t>
        </is>
      </c>
      <c r="X192" s="29" t="inlineStr">
        <is>
          <t>https://nen.nipez.cz/verejne-zakazky/detail-zakazky/N006-19-V00008087</t>
        </is>
      </c>
    </row>
    <row r="193" ht="45" customHeight="1">
      <c r="B193" s="26" t="inlineStr">
        <is>
          <t>CZ-N006/24/V00039486</t>
        </is>
      </c>
      <c r="C193" s="26" t="inlineStr">
        <is>
          <t>Field Kitchen Trailers - Single-Axle All-Terrain</t>
        </is>
      </c>
      <c r="D193" s="26" t="inlineStr">
        <is>
          <t>Czech Republic</t>
        </is>
      </c>
      <c r="E193" s="26" t="inlineStr">
        <is>
          <t>Ministerstvo obrany CR</t>
        </is>
      </c>
      <c r="F193" s="27" t="n">
        <v>45292</v>
      </c>
      <c r="G193" s="26" t="inlineStr">
        <is>
          <t>Closed</t>
        </is>
      </c>
      <c r="H193" s="26" t="n"/>
      <c r="I193" s="26" t="inlineStr"/>
      <c r="J193" s="26" t="n"/>
      <c r="K193" s="26" t="inlineStr">
        <is>
          <t>Single-axle all-terrain field kitchen trailer</t>
        </is>
      </c>
      <c r="L193" s="26" t="inlineStr">
        <is>
          <t>Field Kitchen</t>
        </is>
      </c>
      <c r="M193" s="26" t="n"/>
      <c r="N193" s="26" t="inlineStr"/>
      <c r="O193" s="26" t="inlineStr"/>
      <c r="P193" s="26" t="n"/>
      <c r="Q193" s="26" t="inlineStr"/>
      <c r="R193" s="26" t="n"/>
      <c r="S193" s="26" t="inlineStr"/>
      <c r="T193" s="26" t="inlineStr"/>
      <c r="U193" s="26" t="inlineStr"/>
      <c r="V193" s="26" t="inlineStr">
        <is>
          <t>Supply of modular field kitchens on single-axle all-terrain trailers for Czech Ministry of Defence. Procurement conducted under framework agreement without renewal of competition.</t>
        </is>
      </c>
      <c r="W193" s="26" t="inlineStr">
        <is>
          <t>CZ-NEN</t>
        </is>
      </c>
      <c r="X193" s="29" t="inlineStr">
        <is>
          <t>https://nen.nipez.cz/verejne-zakazky/detail-zakazky/N006-24-V00039486</t>
        </is>
      </c>
    </row>
    <row r="194" ht="45" customHeight="1">
      <c r="B194" s="26" t="inlineStr">
        <is>
          <t>CZ-N006/24/V00038682</t>
        </is>
      </c>
      <c r="C194" s="26" t="inlineStr">
        <is>
          <t>Water Storage Trailers 2000L Single-Axle Off-Road</t>
        </is>
      </c>
      <c r="D194" s="26" t="inlineStr">
        <is>
          <t>Czech Republic</t>
        </is>
      </c>
      <c r="E194" s="26" t="inlineStr">
        <is>
          <t>Ministerstvo obrany CR</t>
        </is>
      </c>
      <c r="F194" s="27" t="n">
        <v>45292</v>
      </c>
      <c r="G194" s="26" t="inlineStr">
        <is>
          <t>Closed</t>
        </is>
      </c>
      <c r="H194" s="26" t="n"/>
      <c r="I194" s="26" t="inlineStr"/>
      <c r="J194" s="26" t="n"/>
      <c r="K194" s="26" t="inlineStr">
        <is>
          <t>2000L water tank trailer single-axle off-road</t>
        </is>
      </c>
      <c r="L194" s="26" t="inlineStr">
        <is>
          <t>Tank Trailer</t>
        </is>
      </c>
      <c r="M194" s="26" t="n"/>
      <c r="N194" s="26" t="inlineStr"/>
      <c r="O194" s="26" t="inlineStr"/>
      <c r="P194" s="26" t="n"/>
      <c r="Q194" s="26" t="inlineStr"/>
      <c r="R194" s="26" t="n"/>
      <c r="S194" s="26" t="inlineStr"/>
      <c r="T194" s="26" t="inlineStr"/>
      <c r="U194" s="26" t="inlineStr"/>
      <c r="V194" s="26" t="inlineStr">
        <is>
          <t>Supply of trailers with 2000-liter water tanks on single-axle off-road chassis for field kitchen water storage operations by Czech Ministry of Defence</t>
        </is>
      </c>
      <c r="W194" s="26" t="inlineStr">
        <is>
          <t>CZ-NEN</t>
        </is>
      </c>
      <c r="X194" s="29" t="inlineStr">
        <is>
          <t>https://nen.nipez.cz/verejne-zakazky/detail-zakazky/N006-24-V00038682</t>
        </is>
      </c>
    </row>
    <row r="195" ht="45" customHeight="1">
      <c r="B195" s="26" t="inlineStr">
        <is>
          <t>CZ-N006/24/V00038677</t>
        </is>
      </c>
      <c r="C195" s="26" t="inlineStr">
        <is>
          <t>Field Kitchen - Refrigeration Freezing Trailers Purchase</t>
        </is>
      </c>
      <c r="D195" s="26" t="inlineStr">
        <is>
          <t>Czech Republic</t>
        </is>
      </c>
      <c r="E195" s="26" t="inlineStr">
        <is>
          <t>Ministerstvo obrany CR</t>
        </is>
      </c>
      <c r="F195" s="27" t="n">
        <v>45292</v>
      </c>
      <c r="G195" s="26" t="inlineStr">
        <is>
          <t>Closed</t>
        </is>
      </c>
      <c r="H195" s="26" t="n"/>
      <c r="I195" s="26" t="inlineStr"/>
      <c r="J195" s="26" t="n"/>
      <c r="K195" s="26" t="inlineStr">
        <is>
          <t>Dual-chamber refrigerated trailer on single-axle off-road chassis</t>
        </is>
      </c>
      <c r="L195" s="26" t="inlineStr">
        <is>
          <t>Field Kitchen</t>
        </is>
      </c>
      <c r="M195" s="26" t="n"/>
      <c r="N195" s="26" t="inlineStr"/>
      <c r="O195" s="26" t="inlineStr"/>
      <c r="P195" s="26" t="n"/>
      <c r="Q195" s="26" t="inlineStr"/>
      <c r="R195" s="26" t="n"/>
      <c r="S195" s="26" t="inlineStr"/>
      <c r="T195" s="26" t="inlineStr"/>
      <c r="U195" s="26" t="inlineStr"/>
      <c r="V195" s="26" t="inlineStr">
        <is>
          <t>Supply of dual-chamber refrigerated trailers on single-axle off-road chassis for transport, storage and preservation of food in chilled or frozen state</t>
        </is>
      </c>
      <c r="W195" s="26" t="inlineStr">
        <is>
          <t>CZ-NEN</t>
        </is>
      </c>
      <c r="X195" s="29" t="inlineStr">
        <is>
          <t>https://nen.nipez.cz/verejne-zakazky/detail-zakazky/N006-24-V00038677</t>
        </is>
      </c>
    </row>
    <row r="196" ht="45" customHeight="1">
      <c r="B196" s="26" t="inlineStr">
        <is>
          <t>CZ-N006/24/V00032766</t>
        </is>
      </c>
      <c r="C196" s="26" t="inlineStr">
        <is>
          <t>Field Kitchen Trailers - Single Axle Off-Road</t>
        </is>
      </c>
      <c r="D196" s="26" t="inlineStr">
        <is>
          <t>Czech Republic</t>
        </is>
      </c>
      <c r="E196" s="26" t="inlineStr">
        <is>
          <t>Ministerstvo obrany CR</t>
        </is>
      </c>
      <c r="F196" s="27" t="n">
        <v>45292</v>
      </c>
      <c r="G196" s="26" t="inlineStr">
        <is>
          <t>Closed</t>
        </is>
      </c>
      <c r="H196" s="26" t="n"/>
      <c r="I196" s="26" t="inlineStr"/>
      <c r="J196" s="26" t="n"/>
      <c r="K196" s="26" t="inlineStr">
        <is>
          <t>Single-axle off-road field kitchen trailer</t>
        </is>
      </c>
      <c r="L196" s="26" t="inlineStr">
        <is>
          <t>Field Kitchen</t>
        </is>
      </c>
      <c r="M196" s="26" t="n"/>
      <c r="N196" s="26" t="inlineStr"/>
      <c r="O196" s="26" t="inlineStr"/>
      <c r="P196" s="26" t="n"/>
      <c r="Q196" s="26" t="inlineStr"/>
      <c r="R196" s="26" t="n"/>
      <c r="S196" s="26" t="inlineStr"/>
      <c r="T196" s="26" t="inlineStr"/>
      <c r="U196" s="26" t="inlineStr"/>
      <c r="V196" s="26" t="inlineStr">
        <is>
          <t>Supply of modular field kitchens on single-axle off-road trailers for the Czech Ministry of Defence. Procurement based on existing framework agreement.</t>
        </is>
      </c>
      <c r="W196" s="26" t="inlineStr">
        <is>
          <t>CZ-NEN</t>
        </is>
      </c>
      <c r="X196" s="29" t="inlineStr">
        <is>
          <t>https://nen.nipez.cz/verejne-zakazky/detail-zakazky/N006-24-V00032766</t>
        </is>
      </c>
    </row>
    <row r="197" ht="45" customHeight="1">
      <c r="B197" s="26" t="inlineStr">
        <is>
          <t>CZ-N006/24/V00032762</t>
        </is>
      </c>
      <c r="C197" s="26" t="inlineStr">
        <is>
          <t>Field Kitchen Cooling-Freezing Trailers</t>
        </is>
      </c>
      <c r="D197" s="26" t="inlineStr">
        <is>
          <t>Czech Republic</t>
        </is>
      </c>
      <c r="E197" s="26" t="inlineStr">
        <is>
          <t>Ministerstvo obrany CR</t>
        </is>
      </c>
      <c r="F197" s="27" t="n">
        <v>45292</v>
      </c>
      <c r="G197" s="26" t="inlineStr">
        <is>
          <t>Closed</t>
        </is>
      </c>
      <c r="H197" s="26" t="n"/>
      <c r="I197" s="26" t="inlineStr"/>
      <c r="J197" s="26" t="n"/>
      <c r="K197" s="26" t="inlineStr">
        <is>
          <t>Two-compartment cooling-freezing trailer on single-axle off-road chassis</t>
        </is>
      </c>
      <c r="L197" s="26" t="inlineStr">
        <is>
          <t>Field Kitchen</t>
        </is>
      </c>
      <c r="M197" s="26" t="n"/>
      <c r="N197" s="26" t="inlineStr"/>
      <c r="O197" s="26" t="inlineStr"/>
      <c r="P197" s="26" t="n"/>
      <c r="Q197" s="26" t="inlineStr"/>
      <c r="R197" s="26" t="n"/>
      <c r="S197" s="26" t="inlineStr"/>
      <c r="T197" s="26" t="inlineStr"/>
      <c r="U197" s="26" t="inlineStr"/>
      <c r="V197" s="26" t="inlineStr">
        <is>
          <t>Supply of two-compartment cooling trailers on single-axle off-road chassis for transport, storage and preservation of food in chilled or frozen state for military field kitchens</t>
        </is>
      </c>
      <c r="W197" s="26" t="inlineStr">
        <is>
          <t>CZ-NEN</t>
        </is>
      </c>
      <c r="X197" s="29" t="inlineStr">
        <is>
          <t>https://nen.nipez.cz/verejne-zakazky/detail-zakazky/N006-24-V00032762</t>
        </is>
      </c>
    </row>
    <row r="198" ht="45" customHeight="1">
      <c r="B198" s="26" t="inlineStr">
        <is>
          <t>CZ-N006/24/V00032757</t>
        </is>
      </c>
      <c r="C198" s="26" t="inlineStr">
        <is>
          <t>Water Tank Trailers 2000L Single Axle Cross-Country</t>
        </is>
      </c>
      <c r="D198" s="26" t="inlineStr">
        <is>
          <t>Czech Republic</t>
        </is>
      </c>
      <c r="E198" s="26" t="inlineStr">
        <is>
          <t>Ministerstvo obrany CR</t>
        </is>
      </c>
      <c r="F198" s="27" t="n">
        <v>45292</v>
      </c>
      <c r="G198" s="26" t="inlineStr">
        <is>
          <t>Closed</t>
        </is>
      </c>
      <c r="H198" s="26" t="n"/>
      <c r="I198" s="26" t="inlineStr"/>
      <c r="J198" s="26" t="n"/>
      <c r="K198" s="26" t="inlineStr">
        <is>
          <t>2000L water tank trailer single axle cross-country</t>
        </is>
      </c>
      <c r="L198" s="26" t="inlineStr">
        <is>
          <t>Tank Trailer</t>
        </is>
      </c>
      <c r="M198" s="26" t="n"/>
      <c r="N198" s="26" t="inlineStr"/>
      <c r="O198" s="26" t="inlineStr"/>
      <c r="P198" s="26" t="n"/>
      <c r="Q198" s="26" t="inlineStr"/>
      <c r="R198" s="26" t="n"/>
      <c r="S198" s="26" t="inlineStr"/>
      <c r="T198" s="26" t="inlineStr"/>
      <c r="U198" s="26" t="inlineStr"/>
      <c r="V198" s="26" t="inlineStr">
        <is>
          <t>Supply of trailers with 2000 liter water tanks on single axle cross-country chassis for field kitchen water storage</t>
        </is>
      </c>
      <c r="W198" s="26" t="inlineStr">
        <is>
          <t>CZ-NEN</t>
        </is>
      </c>
      <c r="X198" s="29" t="inlineStr">
        <is>
          <t>https://nen.nipez.cz/verejne-zakazky/detail-zakazky/N006-24-V00032757</t>
        </is>
      </c>
    </row>
    <row r="199" ht="45" customHeight="1">
      <c r="B199" s="26" t="inlineStr">
        <is>
          <t>CZ-N006/18/V00011770</t>
        </is>
      </c>
      <c r="C199" s="26" t="inlineStr">
        <is>
          <t>Container-Type Field Kitchens</t>
        </is>
      </c>
      <c r="D199" s="26" t="inlineStr">
        <is>
          <t>Czech Republic</t>
        </is>
      </c>
      <c r="E199" s="26" t="inlineStr">
        <is>
          <t>Ministerstvo obrany CR</t>
        </is>
      </c>
      <c r="F199" s="27" t="n">
        <v>43101</v>
      </c>
      <c r="G199" s="26" t="inlineStr">
        <is>
          <t>Closed</t>
        </is>
      </c>
      <c r="H199" s="26" t="n"/>
      <c r="I199" s="26" t="inlineStr"/>
      <c r="J199" s="26" t="n"/>
      <c r="K199" s="26" t="inlineStr">
        <is>
          <t>Container-type field kitchen system</t>
        </is>
      </c>
      <c r="L199" s="26" t="inlineStr">
        <is>
          <t>Field Kitchen</t>
        </is>
      </c>
      <c r="M199" s="28" t="n">
        <v>14</v>
      </c>
      <c r="N199" s="26" t="inlineStr"/>
      <c r="O199" s="26" t="inlineStr"/>
      <c r="P199" s="26" t="n"/>
      <c r="Q199" s="26" t="inlineStr"/>
      <c r="R199" s="26" t="n"/>
      <c r="S199" s="26" t="inlineStr"/>
      <c r="T199" s="26" t="inlineStr"/>
      <c r="U199" s="26" t="inlineStr"/>
      <c r="V199" s="26" t="inlineStr">
        <is>
          <t>Supply of 14 sets of container-type field kitchens, each set consisting of 1x ISO 1C container type 'Kitchen' and 1x ISO 1C container type 'Distribution'. Mobile containers for special purposes for military use.</t>
        </is>
      </c>
      <c r="W199" s="26" t="inlineStr">
        <is>
          <t>CZ-NEN</t>
        </is>
      </c>
      <c r="X199" s="29" t="inlineStr">
        <is>
          <t>https://nen.nipez.cz/verejne-zakazky/detail-zakazky/N006-18-V00011770</t>
        </is>
      </c>
    </row>
    <row r="200" ht="45" customHeight="1">
      <c r="B200" s="26" t="inlineStr">
        <is>
          <t>CZ-N006/20/P00000006</t>
        </is>
      </c>
      <c r="C200" s="26" t="inlineStr">
        <is>
          <t>Market Consultation - Tractor with Low-Bed Transporter for Czech Armed Forces</t>
        </is>
      </c>
      <c r="D200" s="26" t="inlineStr">
        <is>
          <t>Czech Republic</t>
        </is>
      </c>
      <c r="E200" s="26" t="inlineStr">
        <is>
          <t>Ministerstvo obrany CR</t>
        </is>
      </c>
      <c r="F200" s="27" t="n">
        <v>43831</v>
      </c>
      <c r="G200" s="26" t="inlineStr">
        <is>
          <t>Closed</t>
        </is>
      </c>
      <c r="H200" s="26" t="n"/>
      <c r="I200" s="26" t="inlineStr"/>
      <c r="J200" s="26" t="n"/>
      <c r="K200" s="26" t="inlineStr">
        <is>
          <t>Low-bed transporter with integrated communication systems</t>
        </is>
      </c>
      <c r="L200" s="26" t="inlineStr">
        <is>
          <t>Low-Bed</t>
        </is>
      </c>
      <c r="M200" s="28" t="n">
        <v>1</v>
      </c>
      <c r="N200" s="26" t="inlineStr"/>
      <c r="O200" s="26" t="inlineStr"/>
      <c r="P200" s="26" t="n"/>
      <c r="Q200" s="26" t="inlineStr">
        <is>
          <t>1x cargo tractor unit with software/hardware/communication components</t>
        </is>
      </c>
      <c r="R200" s="28" t="n">
        <v>1</v>
      </c>
      <c r="S200" s="26" t="inlineStr"/>
      <c r="T200" s="26" t="inlineStr"/>
      <c r="U200" s="26" t="inlineStr"/>
      <c r="V200" s="26" t="inlineStr">
        <is>
          <t>Market consultation for 1 set consisting of cargo tractor and low-bed transporter supplemented with software, hardware and communication components necessary for operation of the vehicle set.</t>
        </is>
      </c>
      <c r="W200" s="26" t="inlineStr">
        <is>
          <t>CZ-NEN</t>
        </is>
      </c>
      <c r="X200" s="29" t="inlineStr">
        <is>
          <t>https://nen.nipez.cz/verejne-zakazky/detail-zakazky/N006-20-P00000006</t>
        </is>
      </c>
    </row>
    <row r="201" ht="45" customHeight="1">
      <c r="B201" s="26" t="inlineStr">
        <is>
          <t>CZ-N006/25/V00005961</t>
        </is>
      </c>
      <c r="C201" s="26" t="inlineStr">
        <is>
          <t>UTV Trailer</t>
        </is>
      </c>
      <c r="D201" s="26" t="inlineStr">
        <is>
          <t>Czech Republic</t>
        </is>
      </c>
      <c r="E201" s="26" t="inlineStr">
        <is>
          <t>Ministerstvo obrany CR</t>
        </is>
      </c>
      <c r="F201" s="27" t="n">
        <v>45658</v>
      </c>
      <c r="G201" s="26" t="inlineStr">
        <is>
          <t>Closed</t>
        </is>
      </c>
      <c r="H201" s="26" t="n"/>
      <c r="I201" s="26" t="inlineStr"/>
      <c r="J201" s="26" t="n"/>
      <c r="K201" s="26" t="inlineStr">
        <is>
          <t>UTV utility trailer 300-750kg</t>
        </is>
      </c>
      <c r="L201" s="26" t="inlineStr">
        <is>
          <t>Cargo Trailer</t>
        </is>
      </c>
      <c r="M201" s="26" t="n"/>
      <c r="N201" s="26" t="inlineStr"/>
      <c r="O201" s="26" t="inlineStr"/>
      <c r="P201" s="26" t="n"/>
      <c r="Q201" s="26" t="inlineStr"/>
      <c r="R201" s="26" t="n"/>
      <c r="S201" s="26" t="inlineStr"/>
      <c r="T201" s="26" t="inlineStr"/>
      <c r="U201" s="26" t="inlineStr"/>
      <c r="V201" s="26" t="inlineStr">
        <is>
          <t>Procurement of utility trailer for UTV (utility terrain vehicle) use by Czech Ministry of Defence. Specifications include V-shaped drawbar, anti-slip waterproof plywood floor, road homologation, support wheel, loading area 2300-2400mm x 1250-1350mm, removable mesh sides 450-850mm high, total weight 300-750kg, anchor points, and waterproof tarpaulin.</t>
        </is>
      </c>
      <c r="W201" s="26" t="inlineStr">
        <is>
          <t>CZ-NEN</t>
        </is>
      </c>
      <c r="X201" s="29" t="inlineStr">
        <is>
          <t>https://nen.nipez.cz/verejne-zakazky/detail-zakazky/N006-25-V00005961</t>
        </is>
      </c>
    </row>
    <row r="202" ht="45" customHeight="1">
      <c r="B202" s="26" t="inlineStr">
        <is>
          <t>CZ-N006/24/V00016266</t>
        </is>
      </c>
      <c r="C202" s="26" t="inlineStr">
        <is>
          <t>Single-axle cargo trailer with tarpaulin and accessories</t>
        </is>
      </c>
      <c r="D202" s="26" t="inlineStr">
        <is>
          <t>Czech Republic</t>
        </is>
      </c>
      <c r="E202" s="26" t="inlineStr">
        <is>
          <t>Ministerstvo obrany CR</t>
        </is>
      </c>
      <c r="F202" s="27" t="n">
        <v>45292</v>
      </c>
      <c r="G202" s="26" t="inlineStr">
        <is>
          <t>Closed</t>
        </is>
      </c>
      <c r="H202" s="26" t="n"/>
      <c r="I202" s="26" t="inlineStr"/>
      <c r="J202" s="26" t="n"/>
      <c r="K202" s="26" t="inlineStr">
        <is>
          <t>Single-axle cargo trailer with tarpaulin</t>
        </is>
      </c>
      <c r="L202" s="26" t="inlineStr">
        <is>
          <t>Cargo Trailer</t>
        </is>
      </c>
      <c r="M202" s="26" t="n"/>
      <c r="N202" s="26" t="inlineStr"/>
      <c r="O202" s="26" t="inlineStr"/>
      <c r="P202" s="26" t="n"/>
      <c r="Q202" s="26" t="inlineStr"/>
      <c r="R202" s="26" t="n"/>
      <c r="S202" s="26" t="inlineStr"/>
      <c r="T202" s="26" t="inlineStr"/>
      <c r="U202" s="26" t="inlineStr"/>
      <c r="V202" s="26" t="inlineStr">
        <is>
          <t>Procurement of single-axle flatbed trailer with tarpaulin cover and accessories by Czech Ministry of Defence. Small-scale public contract with performance at Tábor military barracks.</t>
        </is>
      </c>
      <c r="W202" s="26" t="inlineStr">
        <is>
          <t>CZ-NEN</t>
        </is>
      </c>
      <c r="X202" s="29" t="inlineStr">
        <is>
          <t>https://nen.nipez.cz/verejne-zakazky/detail-zakazky/N006-24-V00016266</t>
        </is>
      </c>
    </row>
    <row r="203" ht="45" customHeight="1">
      <c r="B203" s="26" t="inlineStr">
        <is>
          <t>FR-21-163372</t>
        </is>
      </c>
      <c r="C203" s="26" t="inlineStr">
        <is>
          <t>Supply of trailer-mounted welding units for 25th Air Force Engineering Regiment</t>
        </is>
      </c>
      <c r="D203" s="26" t="inlineStr">
        <is>
          <t>France</t>
        </is>
      </c>
      <c r="E203" s="26" t="inlineStr">
        <is>
          <t>Direction generale de l armement (DGA)</t>
        </is>
      </c>
      <c r="F203" s="27" t="n">
        <v>44197</v>
      </c>
      <c r="G203" s="26" t="inlineStr">
        <is>
          <t>Closed</t>
        </is>
      </c>
      <c r="H203" s="26" t="n"/>
      <c r="I203" s="26" t="inlineStr"/>
      <c r="J203" s="26" t="n"/>
      <c r="K203" s="26" t="inlineStr">
        <is>
          <t>Trailer-mounted welding unit</t>
        </is>
      </c>
      <c r="L203" s="26" t="inlineStr">
        <is>
          <t>Special Purpose</t>
        </is>
      </c>
      <c r="M203" s="26" t="n"/>
      <c r="N203" s="26" t="inlineStr"/>
      <c r="O203" s="26" t="inlineStr"/>
      <c r="P203" s="26" t="n"/>
      <c r="Q203" s="26" t="inlineStr"/>
      <c r="R203" s="26" t="n"/>
      <c r="S203" s="26" t="inlineStr"/>
      <c r="T203" s="26" t="inlineStr"/>
      <c r="U203" s="26" t="inlineStr"/>
      <c r="V203" s="26" t="inlineStr">
        <is>
          <t>Procurement of welding groups mounted on trailers for the benefit of the 25th Air Force Engineering Regiment (RGA) or Air Operations Support Group (GAAO). Buyer: French Ministry of Armed Forces. Winner: CTF FRANCE SAURON.</t>
        </is>
      </c>
      <c r="W203" s="26" t="inlineStr">
        <is>
          <t>TED+FR-BP</t>
        </is>
      </c>
      <c r="X203" s="29" t="inlineStr">
        <is>
          <t>https://www.boamp.fr/pages/avis/?q=idweb:163372</t>
        </is>
      </c>
    </row>
    <row r="204" ht="45" customHeight="1">
      <c r="B204" s="26" t="inlineStr">
        <is>
          <t>FR-21-76485</t>
        </is>
      </c>
      <c r="C204" s="26" t="inlineStr">
        <is>
          <t>Acquisition of 500 kW resistive load bank on trailer for French Navy electrical workshop</t>
        </is>
      </c>
      <c r="D204" s="26" t="inlineStr">
        <is>
          <t>France</t>
        </is>
      </c>
      <c r="E204" s="26" t="inlineStr">
        <is>
          <t>Direction generale de l armement (DGA)</t>
        </is>
      </c>
      <c r="F204" s="27" t="n">
        <v>44197</v>
      </c>
      <c r="G204" s="26" t="inlineStr">
        <is>
          <t>Closed</t>
        </is>
      </c>
      <c r="H204" s="26" t="n"/>
      <c r="I204" s="26" t="inlineStr"/>
      <c r="J204" s="26" t="n"/>
      <c r="K204" s="26" t="inlineStr">
        <is>
          <t>500 kW resistive load bank trailer</t>
        </is>
      </c>
      <c r="L204" s="26" t="inlineStr">
        <is>
          <t>Special Purpose</t>
        </is>
      </c>
      <c r="M204" s="28" t="n">
        <v>1</v>
      </c>
      <c r="N204" s="26" t="inlineStr"/>
      <c r="O204" s="26" t="inlineStr"/>
      <c r="P204" s="26" t="n"/>
      <c r="Q204" s="26" t="inlineStr"/>
      <c r="R204" s="26" t="n"/>
      <c r="S204" s="26" t="inlineStr"/>
      <c r="T204" s="26" t="inlineStr"/>
      <c r="U204" s="26" t="inlineStr"/>
      <c r="V204" s="26" t="inlineStr">
        <is>
          <t>Procurement of a 500 kW resistive load bank mounted on trailer and associated services for the electrical workshop of the Naval Logistics Service in Toulon, France.</t>
        </is>
      </c>
      <c r="W204" s="26" t="inlineStr">
        <is>
          <t>TED+FR-BP</t>
        </is>
      </c>
      <c r="X204" s="29" t="inlineStr">
        <is>
          <t>https://www.boamp.fr/pages/avis/?q=idweb:76485</t>
        </is>
      </c>
    </row>
    <row r="205" ht="45" customHeight="1">
      <c r="B205" s="26" t="inlineStr">
        <is>
          <t>FR-21-38939</t>
        </is>
      </c>
      <c r="C205" s="26" t="inlineStr">
        <is>
          <t>Design and construction of road semi-trailer equipped as laboratory, preventive maintenance and associated services</t>
        </is>
      </c>
      <c r="D205" s="26" t="inlineStr">
        <is>
          <t>France</t>
        </is>
      </c>
      <c r="E205" s="26" t="inlineStr">
        <is>
          <t>Direction generale de l armement (DGA)</t>
        </is>
      </c>
      <c r="F205" s="27" t="n">
        <v>44197</v>
      </c>
      <c r="G205" s="26" t="inlineStr">
        <is>
          <t>Closed</t>
        </is>
      </c>
      <c r="H205" s="26" t="n"/>
      <c r="I205" s="26" t="inlineStr"/>
      <c r="J205" s="26" t="n"/>
      <c r="K205" s="26" t="inlineStr">
        <is>
          <t>Laboratory semi-trailer</t>
        </is>
      </c>
      <c r="L205" s="26" t="inlineStr">
        <is>
          <t>Special Purpose</t>
        </is>
      </c>
      <c r="M205" s="26" t="n"/>
      <c r="N205" s="26" t="inlineStr"/>
      <c r="O205" s="26" t="inlineStr"/>
      <c r="P205" s="26" t="n"/>
      <c r="Q205" s="26" t="inlineStr">
        <is>
          <t>Preventive maintenance services</t>
        </is>
      </c>
      <c r="R205" s="26" t="n"/>
      <c r="S205" s="26" t="inlineStr"/>
      <c r="T205" s="26" t="inlineStr"/>
      <c r="U205" s="26" t="inlineStr"/>
      <c r="V205" s="26" t="inlineStr">
        <is>
          <t>Design and construction of a road semi-trailer equipped as a laboratory, including preventive maintenance and associated services. Contract may include optional tranches. Procured by French Ministry of Armed Forces/DGA.</t>
        </is>
      </c>
      <c r="W205" s="26" t="inlineStr">
        <is>
          <t>TED+FR-BP</t>
        </is>
      </c>
      <c r="X205" s="29" t="inlineStr">
        <is>
          <t>https://www.boamp.fr/pages/avis/?q=idweb:38939</t>
        </is>
      </c>
    </row>
    <row r="206" ht="45" customHeight="1">
      <c r="B206" s="26" t="inlineStr">
        <is>
          <t>FR-19-90275</t>
        </is>
      </c>
      <c r="C206" s="26" t="inlineStr">
        <is>
          <t>Supply of trailer-mounted welding units for 25th Air Engineering Regiment</t>
        </is>
      </c>
      <c r="D206" s="26" t="inlineStr">
        <is>
          <t>France</t>
        </is>
      </c>
      <c r="E206" s="26" t="inlineStr">
        <is>
          <t>Direction generale de l armement (DGA)</t>
        </is>
      </c>
      <c r="F206" s="27" t="n">
        <v>43466</v>
      </c>
      <c r="G206" s="26" t="inlineStr">
        <is>
          <t>Closed</t>
        </is>
      </c>
      <c r="H206" s="26" t="n"/>
      <c r="I206" s="26" t="inlineStr"/>
      <c r="J206" s="26" t="n"/>
      <c r="K206" s="26" t="inlineStr">
        <is>
          <t>Trailer-mounted welding unit</t>
        </is>
      </c>
      <c r="L206" s="26" t="inlineStr">
        <is>
          <t>Special Purpose</t>
        </is>
      </c>
      <c r="M206" s="26" t="n"/>
      <c r="N206" s="26" t="inlineStr"/>
      <c r="O206" s="26" t="inlineStr"/>
      <c r="P206" s="26" t="n"/>
      <c r="Q206" s="26" t="inlineStr"/>
      <c r="R206" s="26" t="n"/>
      <c r="S206" s="26" t="inlineStr"/>
      <c r="T206" s="26" t="inlineStr"/>
      <c r="U206" s="26" t="inlineStr"/>
      <c r="V206" s="26" t="inlineStr">
        <is>
          <t>Procurement of welding groups mounted on trailers for the benefit of the 25th Air Engineering Regiment (RGA) or the Air Operations Support Group (GAAO)</t>
        </is>
      </c>
      <c r="W206" s="26" t="inlineStr">
        <is>
          <t>TED+FR-BP</t>
        </is>
      </c>
      <c r="X206" s="29" t="inlineStr">
        <is>
          <t>https://www.boamp.fr/pages/avis/?q=idweb:90275</t>
        </is>
      </c>
    </row>
    <row r="207" ht="45" customHeight="1">
      <c r="B207" s="26" t="inlineStr">
        <is>
          <t>FR-17-20328</t>
        </is>
      </c>
      <c r="C207" s="26" t="inlineStr">
        <is>
          <t>Deployable Modular Shelters 340m2 Minimum on Semi-trailer with Associated Services</t>
        </is>
      </c>
      <c r="D207" s="26" t="inlineStr">
        <is>
          <t>France</t>
        </is>
      </c>
      <c r="E207" s="26" t="inlineStr">
        <is>
          <t>Direction generale de l armement (DGA)</t>
        </is>
      </c>
      <c r="F207" s="27" t="n">
        <v>42736</v>
      </c>
      <c r="G207" s="26" t="inlineStr">
        <is>
          <t>Closed</t>
        </is>
      </c>
      <c r="H207" s="26" t="n"/>
      <c r="I207" s="26" t="inlineStr"/>
      <c r="J207" s="26" t="n"/>
      <c r="K207" s="26" t="inlineStr">
        <is>
          <t>Semi-trailer mounted deployable modular shelter 340m2</t>
        </is>
      </c>
      <c r="L207" s="26" t="inlineStr">
        <is>
          <t>Mission Module</t>
        </is>
      </c>
      <c r="M207" s="26" t="n"/>
      <c r="N207" s="26" t="inlineStr"/>
      <c r="O207" s="26" t="inlineStr"/>
      <c r="P207" s="26" t="n"/>
      <c r="Q207" s="26" t="inlineStr"/>
      <c r="R207" s="26" t="n"/>
      <c r="S207" s="26" t="inlineStr"/>
      <c r="T207" s="26" t="inlineStr"/>
      <c r="U207" s="26" t="inlineStr"/>
      <c r="V207" s="26" t="inlineStr">
        <is>
          <t>Acquisition of deployable modular shelters with minimum 340m2 surface area, rapid deployment capability, integrated on semi-trailer chassis, including associated services for French Ministry of Defence</t>
        </is>
      </c>
      <c r="W207" s="26" t="inlineStr">
        <is>
          <t>TED+FR-BP</t>
        </is>
      </c>
      <c r="X207" s="29" t="inlineStr">
        <is>
          <t>https://www.boamp.fr/pages/avis/?q=idweb:20328</t>
        </is>
      </c>
    </row>
    <row r="208" ht="45" customHeight="1">
      <c r="B208" s="26" t="inlineStr">
        <is>
          <t>FR-17-11123</t>
        </is>
      </c>
      <c r="C208" s="26" t="inlineStr">
        <is>
          <t>Supply of 2500kW resistive load bank on road trailer and associated services, Toulon</t>
        </is>
      </c>
      <c r="D208" s="26" t="inlineStr">
        <is>
          <t>France</t>
        </is>
      </c>
      <c r="E208" s="26" t="inlineStr">
        <is>
          <t>Direction generale de l armement (DGA)</t>
        </is>
      </c>
      <c r="F208" s="27" t="n">
        <v>42736</v>
      </c>
      <c r="G208" s="26" t="inlineStr">
        <is>
          <t>Closed</t>
        </is>
      </c>
      <c r="H208" s="26" t="n"/>
      <c r="I208" s="26" t="inlineStr"/>
      <c r="J208" s="26" t="n"/>
      <c r="K208" s="26" t="inlineStr">
        <is>
          <t>2500kW resistive load bank trailer</t>
        </is>
      </c>
      <c r="L208" s="26" t="inlineStr">
        <is>
          <t>Special Purpose</t>
        </is>
      </c>
      <c r="M208" s="28" t="n">
        <v>1</v>
      </c>
      <c r="N208" s="26" t="inlineStr"/>
      <c r="O208" s="26" t="inlineStr"/>
      <c r="P208" s="26" t="n"/>
      <c r="Q208" s="26" t="inlineStr"/>
      <c r="R208" s="26" t="n"/>
      <c r="S208" s="26" t="inlineStr"/>
      <c r="T208" s="26" t="inlineStr"/>
      <c r="U208" s="26" t="inlineStr"/>
      <c r="V208" s="26" t="inlineStr">
        <is>
          <t>Procurement of a 2500kW resistive load bank mounted on road trailer and associated services, necessary for maintaining operational condition of Maritime Force Elements and Armed Force Elements at Toulon naval base.</t>
        </is>
      </c>
      <c r="W208" s="26" t="inlineStr">
        <is>
          <t>TED+FR-BP</t>
        </is>
      </c>
      <c r="X208" s="29" t="inlineStr">
        <is>
          <t>https://www.boamp.fr/pages/avis/?q=idweb:11123</t>
        </is>
      </c>
    </row>
    <row r="209" ht="45" customHeight="1">
      <c r="B209" s="26" t="inlineStr">
        <is>
          <t>FR-16-11519</t>
        </is>
      </c>
      <c r="C209" s="26" t="inlineStr">
        <is>
          <t>2500kW Resistive Load Bank on Road Trailer with Associated Services, Toulon</t>
        </is>
      </c>
      <c r="D209" s="26" t="inlineStr">
        <is>
          <t>France</t>
        </is>
      </c>
      <c r="E209" s="26" t="inlineStr">
        <is>
          <t>Direction generale de l armement (DGA)</t>
        </is>
      </c>
      <c r="F209" s="27" t="n">
        <v>42370</v>
      </c>
      <c r="G209" s="26" t="inlineStr">
        <is>
          <t>Closed</t>
        </is>
      </c>
      <c r="H209" s="26" t="n"/>
      <c r="I209" s="26" t="inlineStr"/>
      <c r="J209" s="26" t="n"/>
      <c r="K209" s="26" t="inlineStr">
        <is>
          <t>2500kW resistive load bank trailer</t>
        </is>
      </c>
      <c r="L209" s="26" t="inlineStr">
        <is>
          <t>Special Purpose</t>
        </is>
      </c>
      <c r="M209" s="28" t="n">
        <v>1</v>
      </c>
      <c r="N209" s="26" t="inlineStr"/>
      <c r="O209" s="26" t="inlineStr"/>
      <c r="P209" s="26" t="n"/>
      <c r="Q209" s="26" t="inlineStr"/>
      <c r="R209" s="26" t="n"/>
      <c r="S209" s="26" t="inlineStr"/>
      <c r="T209" s="26" t="inlineStr"/>
      <c r="U209" s="26" t="inlineStr"/>
      <c r="V209" s="26" t="inlineStr">
        <is>
          <t>Procurement of a 2500kW resistive load bank mounted on road trailer with associated services for the French Navy in Toulon. Specialized electrical testing equipment for power generation systems.</t>
        </is>
      </c>
      <c r="W209" s="26" t="inlineStr">
        <is>
          <t>TED+FR-BP</t>
        </is>
      </c>
      <c r="X209" s="29" t="inlineStr">
        <is>
          <t>https://www.boamp.fr/pages/avis/?q=idweb:11519</t>
        </is>
      </c>
    </row>
    <row r="210" ht="45" customHeight="1">
      <c r="B210" s="26" t="inlineStr">
        <is>
          <t>FR-15-186837</t>
        </is>
      </c>
      <c r="C210" s="26" t="inlineStr">
        <is>
          <t>Mobile Target System with Remote-Controlled 4x4 Vehicle and Target Trailer</t>
        </is>
      </c>
      <c r="D210" s="26" t="inlineStr">
        <is>
          <t>France</t>
        </is>
      </c>
      <c r="E210" s="26" t="inlineStr">
        <is>
          <t>Direction generale de l armement (DGA)</t>
        </is>
      </c>
      <c r="F210" s="27" t="n">
        <v>42005</v>
      </c>
      <c r="G210" s="26" t="inlineStr">
        <is>
          <t>Closed</t>
        </is>
      </c>
      <c r="H210" s="26" t="n"/>
      <c r="I210" s="26" t="inlineStr"/>
      <c r="J210" s="26" t="n"/>
      <c r="K210" s="26" t="inlineStr">
        <is>
          <t>Target support trailer for mobile targeting system</t>
        </is>
      </c>
      <c r="L210" s="26" t="inlineStr">
        <is>
          <t>Special Purpose</t>
        </is>
      </c>
      <c r="M210" s="26" t="n"/>
      <c r="N210" s="26" t="inlineStr"/>
      <c r="O210" s="26" t="inlineStr"/>
      <c r="P210" s="26" t="n"/>
      <c r="Q210" s="26" t="inlineStr">
        <is>
          <t>Remote-controlled 4x4 commercial vehicle</t>
        </is>
      </c>
      <c r="R210" s="26" t="n"/>
      <c r="S210" s="26" t="inlineStr"/>
      <c r="T210" s="26" t="inlineStr"/>
      <c r="U210" s="26" t="inlineStr"/>
      <c r="V210" s="26" t="inlineStr">
        <is>
          <t>Acquisition of mobile target systems based on remote-controlled commercial 4x4 vehicles towing trailers supporting targets, including associated services (training, maintenance, spare parts and accessories).</t>
        </is>
      </c>
      <c r="W210" s="26" t="inlineStr">
        <is>
          <t>TED+FR-BP</t>
        </is>
      </c>
      <c r="X210" s="29" t="inlineStr">
        <is>
          <t>https://www.boamp.fr/pages/avis/?q=idweb:186837</t>
        </is>
      </c>
    </row>
    <row r="211" ht="45" customHeight="1">
      <c r="B211" s="26" t="inlineStr">
        <is>
          <t>FR-15-46366</t>
        </is>
      </c>
      <c r="C211" s="26" t="inlineStr">
        <is>
          <t>Deployable modular shelters 340m2 minimum integrated on semi-trailers</t>
        </is>
      </c>
      <c r="D211" s="26" t="inlineStr">
        <is>
          <t>France</t>
        </is>
      </c>
      <c r="E211" s="26" t="inlineStr">
        <is>
          <t>Direction generale de l armement (DGA)</t>
        </is>
      </c>
      <c r="F211" s="27" t="n">
        <v>42005</v>
      </c>
      <c r="G211" s="26" t="inlineStr">
        <is>
          <t>Closed</t>
        </is>
      </c>
      <c r="H211" s="26" t="n"/>
      <c r="I211" s="26" t="inlineStr"/>
      <c r="J211" s="26" t="n"/>
      <c r="K211" s="26" t="inlineStr">
        <is>
          <t>Semi-trailer with deployable modular shelter 340m2</t>
        </is>
      </c>
      <c r="L211" s="26" t="inlineStr">
        <is>
          <t>Mission Module</t>
        </is>
      </c>
      <c r="M211" s="26" t="n"/>
      <c r="N211" s="26" t="inlineStr"/>
      <c r="O211" s="26" t="inlineStr"/>
      <c r="P211" s="26" t="n"/>
      <c r="Q211" s="26" t="inlineStr"/>
      <c r="R211" s="26" t="n"/>
      <c r="S211" s="26" t="inlineStr"/>
      <c r="T211" s="26" t="inlineStr"/>
      <c r="U211" s="26" t="inlineStr"/>
      <c r="V211" s="26" t="inlineStr">
        <is>
          <t>Supply of deployable modular shelters with minimum 340m2 area, rapid deployment capability integrated on semi-trailers and associated services for French Ministry of Defence at Versailles</t>
        </is>
      </c>
      <c r="W211" s="26" t="inlineStr">
        <is>
          <t>TED+FR-BP</t>
        </is>
      </c>
      <c r="X211" s="29" t="inlineStr">
        <is>
          <t>https://www.boamp.fr/pages/avis/?q=idweb:46366</t>
        </is>
      </c>
    </row>
    <row r="212" ht="45" customHeight="1">
      <c r="B212" s="26" t="inlineStr">
        <is>
          <t>FR-19-11984</t>
        </is>
      </c>
      <c r="C212" s="26" t="inlineStr">
        <is>
          <t>Supply of hybrid solar generator on trailer for air operations support group</t>
        </is>
      </c>
      <c r="D212" s="26" t="inlineStr">
        <is>
          <t>France</t>
        </is>
      </c>
      <c r="E212" s="26" t="inlineStr">
        <is>
          <t>Direction generale de l armement (DGA)</t>
        </is>
      </c>
      <c r="F212" s="27" t="n">
        <v>43466</v>
      </c>
      <c r="G212" s="26" t="inlineStr">
        <is>
          <t>Closed</t>
        </is>
      </c>
      <c r="H212" s="26" t="n"/>
      <c r="I212" s="26" t="inlineStr"/>
      <c r="J212" s="26" t="n"/>
      <c r="K212" s="26" t="inlineStr">
        <is>
          <t>Hybrid solar generator trailer</t>
        </is>
      </c>
      <c r="L212" s="26" t="inlineStr">
        <is>
          <t>Special Purpose</t>
        </is>
      </c>
      <c r="M212" s="28" t="n">
        <v>1</v>
      </c>
      <c r="N212" s="26" t="inlineStr"/>
      <c r="O212" s="26" t="inlineStr"/>
      <c r="P212" s="26" t="n"/>
      <c r="Q212" s="26" t="inlineStr"/>
      <c r="R212" s="26" t="n"/>
      <c r="S212" s="26" t="inlineStr"/>
      <c r="T212" s="26" t="inlineStr"/>
      <c r="U212" s="26" t="inlineStr"/>
      <c r="V212" s="26" t="inlineStr">
        <is>
          <t>Procurement of a hybrid solar generator mounted on trailer for the Groupement Aérien d'Appui aux Opérations (GAAO) - Air Operations Support Group. Buyer: French Ministry of Armed Forces/Military Aviation Directorate. Winner: Entreprise Boraine de Mécanique.</t>
        </is>
      </c>
      <c r="W212" s="26" t="inlineStr">
        <is>
          <t>TED+FR-BP</t>
        </is>
      </c>
      <c r="X212" s="29" t="inlineStr">
        <is>
          <t>https://www.boamp.fr/pages/avis/?q=idweb:11984</t>
        </is>
      </c>
    </row>
    <row r="213" ht="45" customHeight="1">
      <c r="B213" s="26" t="inlineStr">
        <is>
          <t>FR-18-127112</t>
        </is>
      </c>
      <c r="C213" s="26" t="inlineStr">
        <is>
          <t>Supply of hybrid solar generator on trailer for aerial support operations group</t>
        </is>
      </c>
      <c r="D213" s="26" t="inlineStr">
        <is>
          <t>France</t>
        </is>
      </c>
      <c r="E213" s="26" t="inlineStr">
        <is>
          <t>Direction generale de l armement (DGA)</t>
        </is>
      </c>
      <c r="F213" s="27" t="n">
        <v>43101</v>
      </c>
      <c r="G213" s="26" t="inlineStr">
        <is>
          <t>Closed</t>
        </is>
      </c>
      <c r="H213" s="26" t="n"/>
      <c r="I213" s="26" t="inlineStr"/>
      <c r="J213" s="26" t="n"/>
      <c r="K213" s="26" t="inlineStr">
        <is>
          <t>Hybrid solar generator trailer</t>
        </is>
      </c>
      <c r="L213" s="26" t="inlineStr">
        <is>
          <t>Special Purpose</t>
        </is>
      </c>
      <c r="M213" s="28" t="n">
        <v>1</v>
      </c>
      <c r="N213" s="26" t="inlineStr"/>
      <c r="O213" s="26" t="inlineStr"/>
      <c r="P213" s="26" t="n"/>
      <c r="Q213" s="26" t="inlineStr"/>
      <c r="R213" s="26" t="n"/>
      <c r="S213" s="26" t="inlineStr"/>
      <c r="T213" s="26" t="inlineStr"/>
      <c r="U213" s="26" t="inlineStr"/>
      <c r="V213" s="26" t="inlineStr">
        <is>
          <t>Procurement of a hybrid solar generator mounted on trailer for the aerial support operations group (GAAO) by French Ministry of Defense</t>
        </is>
      </c>
      <c r="W213" s="26" t="inlineStr">
        <is>
          <t>TED+FR-BP</t>
        </is>
      </c>
      <c r="X213" s="29" t="inlineStr">
        <is>
          <t>https://www.boamp.fr/pages/avis/?q=idweb:127112</t>
        </is>
      </c>
    </row>
    <row r="214" ht="45" customHeight="1">
      <c r="B214" s="26" t="inlineStr">
        <is>
          <t>FR-17-95354</t>
        </is>
      </c>
      <c r="C214" s="26" t="inlineStr">
        <is>
          <t>Supply of trailer-mounted lubrication stations and welding units for 25th RGA and GAAO</t>
        </is>
      </c>
      <c r="D214" s="26" t="inlineStr">
        <is>
          <t>France</t>
        </is>
      </c>
      <c r="E214" s="26" t="inlineStr">
        <is>
          <t>Direction generale de l armement (DGA)</t>
        </is>
      </c>
      <c r="F214" s="27" t="n">
        <v>42736</v>
      </c>
      <c r="G214" s="26" t="inlineStr">
        <is>
          <t>Closed</t>
        </is>
      </c>
      <c r="H214" s="26" t="n"/>
      <c r="I214" s="26" t="inlineStr"/>
      <c r="J214" s="26" t="n"/>
      <c r="K214" s="26" t="inlineStr">
        <is>
          <t>Lubrication and greasing station trailer</t>
        </is>
      </c>
      <c r="L214" s="26" t="inlineStr">
        <is>
          <t>Special Purpose</t>
        </is>
      </c>
      <c r="M214" s="26" t="n"/>
      <c r="N214" s="26" t="inlineStr">
        <is>
          <t>Welding unit trailer</t>
        </is>
      </c>
      <c r="O214" s="26" t="inlineStr">
        <is>
          <t>Special Purpose</t>
        </is>
      </c>
      <c r="P214" s="26" t="n"/>
      <c r="Q214" s="26" t="inlineStr"/>
      <c r="R214" s="26" t="n"/>
      <c r="S214" s="26" t="inlineStr"/>
      <c r="T214" s="26" t="inlineStr"/>
      <c r="U214" s="26" t="inlineStr"/>
      <c r="V214" s="26" t="inlineStr">
        <is>
          <t>Procurement of lubrication and greasing stations mounted on trailers and welding groups mounted on trailers for the benefit of the 25th Artillery Regiment and GAAO by French Air Force</t>
        </is>
      </c>
      <c r="W214" s="26" t="inlineStr">
        <is>
          <t>TED+FR-BP</t>
        </is>
      </c>
      <c r="X214" s="29" t="inlineStr">
        <is>
          <t>https://www.boamp.fr/pages/avis/?q=idweb:95354</t>
        </is>
      </c>
    </row>
    <row r="215" ht="45" customHeight="1">
      <c r="B215" s="26" t="inlineStr">
        <is>
          <t>FR-17-125671</t>
        </is>
      </c>
      <c r="C215" s="26" t="inlineStr">
        <is>
          <t>Supply of mobile aeronautical static converters on trailer 115/200V/400Hz 90kW and 28VDC for DGA flight test</t>
        </is>
      </c>
      <c r="D215" s="26" t="inlineStr">
        <is>
          <t>France</t>
        </is>
      </c>
      <c r="E215" s="26" t="inlineStr">
        <is>
          <t>Direction generale de l armement (DGA)</t>
        </is>
      </c>
      <c r="F215" s="27" t="n">
        <v>42736</v>
      </c>
      <c r="G215" s="26" t="inlineStr">
        <is>
          <t>Closed</t>
        </is>
      </c>
      <c r="H215" s="26" t="n"/>
      <c r="I215" s="26" t="inlineStr"/>
      <c r="J215" s="26" t="n"/>
      <c r="K215" s="26" t="inlineStr">
        <is>
          <t>Aeronautical static converter trailer 90kW</t>
        </is>
      </c>
      <c r="L215" s="26" t="inlineStr">
        <is>
          <t>Special Purpose</t>
        </is>
      </c>
      <c r="M215" s="26" t="n"/>
      <c r="N215" s="26" t="inlineStr"/>
      <c r="O215" s="26" t="inlineStr"/>
      <c r="P215" s="26" t="n"/>
      <c r="Q215" s="26" t="inlineStr"/>
      <c r="R215" s="26" t="n"/>
      <c r="S215" s="26" t="inlineStr"/>
      <c r="T215" s="26" t="inlineStr"/>
      <c r="U215" s="26" t="inlineStr"/>
      <c r="V215" s="26" t="inlineStr">
        <is>
          <t>Supply of aeronautical static converters mobile version on trailer 115/200V/400Hz 90kW and 28VDC for the benefit of DGA flight test (DGA EV) at Istres site. Procured by French Ministry of Armed Forces/DGA for aviation ground support equipment.</t>
        </is>
      </c>
      <c r="W215" s="26" t="inlineStr">
        <is>
          <t>TED+FR-BP</t>
        </is>
      </c>
      <c r="X215" s="29" t="inlineStr">
        <is>
          <t>https://www.boamp.fr/pages/avis/?q=idweb:125671</t>
        </is>
      </c>
    </row>
    <row r="216" ht="45" customHeight="1">
      <c r="B216" s="26" t="inlineStr">
        <is>
          <t>NO-2023-312913</t>
        </is>
      </c>
      <c r="C216" s="26" t="inlineStr">
        <is>
          <t>Purchase and Maintenance of Civilian Trailers</t>
        </is>
      </c>
      <c r="D216" s="26" t="inlineStr">
        <is>
          <t>Norway</t>
        </is>
      </c>
      <c r="E216" s="26" t="inlineStr">
        <is>
          <t>Forsvarsmateriell</t>
        </is>
      </c>
      <c r="F216" s="27" t="n">
        <v>44927</v>
      </c>
      <c r="G216" s="26" t="inlineStr">
        <is>
          <t>Closed</t>
        </is>
      </c>
      <c r="H216" s="26" t="n"/>
      <c r="I216" s="26" t="inlineStr"/>
      <c r="J216" s="26" t="n"/>
      <c r="K216" s="26" t="inlineStr">
        <is>
          <t>Cargo trailers (various civilian types)</t>
        </is>
      </c>
      <c r="L216" s="26" t="inlineStr">
        <is>
          <t>Cargo Trailer</t>
        </is>
      </c>
      <c r="M216" s="26" t="n"/>
      <c r="N216" s="26" t="inlineStr">
        <is>
          <t>Special purpose trailers (boat, canoe, machinery, ATV)</t>
        </is>
      </c>
      <c r="O216" s="26" t="inlineStr">
        <is>
          <t>Special Purpose</t>
        </is>
      </c>
      <c r="P216" s="26" t="n"/>
      <c r="Q216" s="26" t="inlineStr">
        <is>
          <t>Spare parts, maintenance services</t>
        </is>
      </c>
      <c r="R216" s="26" t="n"/>
      <c r="S216" s="26" t="inlineStr"/>
      <c r="T216" s="26" t="inlineStr"/>
      <c r="U216" s="26" t="inlineStr"/>
      <c r="V216" s="26" t="inlineStr">
        <is>
          <t>National framework agreement for purchase and maintenance of civilian trailers including cargo trailers, box trailers, boat trailers, canoe trailers, machinery trailers and ATV trailers. Includes spare parts, extra equipment, corrective and preventive maintenance services.</t>
        </is>
      </c>
      <c r="W216" s="26" t="inlineStr">
        <is>
          <t>NO-DF</t>
        </is>
      </c>
      <c r="X216" s="29" t="inlineStr">
        <is>
          <t>https://doffin.no/notices/312913</t>
        </is>
      </c>
    </row>
    <row r="217" ht="45" customHeight="1">
      <c r="B217" s="26" t="inlineStr">
        <is>
          <t>NO-2021-338906</t>
        </is>
      </c>
      <c r="C217" s="26" t="inlineStr">
        <is>
          <t>Purchase and Maintenance of Trailers</t>
        </is>
      </c>
      <c r="D217" s="26" t="inlineStr">
        <is>
          <t>Norway</t>
        </is>
      </c>
      <c r="E217" s="26" t="inlineStr">
        <is>
          <t>Forsvarsmateriell</t>
        </is>
      </c>
      <c r="F217" s="27" t="n">
        <v>44197</v>
      </c>
      <c r="G217" s="26" t="inlineStr">
        <is>
          <t>Closed</t>
        </is>
      </c>
      <c r="H217" s="26" t="n"/>
      <c r="I217" s="26" t="inlineStr"/>
      <c r="J217" s="26" t="n"/>
      <c r="K217" s="26" t="inlineStr">
        <is>
          <t>Military trailer (type not specified in notice)</t>
        </is>
      </c>
      <c r="L217" s="26" t="inlineStr">
        <is>
          <t>Other</t>
        </is>
      </c>
      <c r="M217" s="26" t="n"/>
      <c r="N217" s="26" t="inlineStr"/>
      <c r="O217" s="26" t="inlineStr"/>
      <c r="P217" s="26" t="n"/>
      <c r="Q217" s="26" t="inlineStr">
        <is>
          <t>Spare parts and maintenance services</t>
        </is>
      </c>
      <c r="R217" s="26" t="n"/>
      <c r="S217" s="26" t="inlineStr"/>
      <c r="T217" s="26" t="inlineStr"/>
      <c r="U217" s="26" t="inlineStr"/>
      <c r="V217" s="26" t="inlineStr">
        <is>
          <t>Framework agreement for trailers for Defence and Police vehicles, including spare parts and maintenance services</t>
        </is>
      </c>
      <c r="W217" s="26" t="inlineStr">
        <is>
          <t>NO-DF</t>
        </is>
      </c>
      <c r="X217" s="29" t="inlineStr">
        <is>
          <t>https://doffin.no/notices/338906</t>
        </is>
      </c>
    </row>
    <row r="218" ht="45" customHeight="1">
      <c r="B218" s="26" t="inlineStr">
        <is>
          <t>NO-2021-307144</t>
        </is>
      </c>
      <c r="C218" s="26" t="inlineStr">
        <is>
          <t>Purchase and maintenance of trailers</t>
        </is>
      </c>
      <c r="D218" s="26" t="inlineStr">
        <is>
          <t>Norway</t>
        </is>
      </c>
      <c r="E218" s="26" t="inlineStr">
        <is>
          <t>Forsvarsmateriell</t>
        </is>
      </c>
      <c r="F218" s="27" t="n">
        <v>44197</v>
      </c>
      <c r="G218" s="26" t="inlineStr">
        <is>
          <t>Closed</t>
        </is>
      </c>
      <c r="H218" s="26" t="n"/>
      <c r="I218" s="26" t="inlineStr"/>
      <c r="J218" s="26" t="n"/>
      <c r="K218" s="26" t="inlineStr">
        <is>
          <t>Military trailer (type not specified in notice)</t>
        </is>
      </c>
      <c r="L218" s="26" t="inlineStr">
        <is>
          <t>Other</t>
        </is>
      </c>
      <c r="M218" s="26" t="n"/>
      <c r="N218" s="26" t="inlineStr"/>
      <c r="O218" s="26" t="inlineStr"/>
      <c r="P218" s="26" t="n"/>
      <c r="Q218" s="26" t="inlineStr">
        <is>
          <t>Spare parts and maintenance services</t>
        </is>
      </c>
      <c r="R218" s="26" t="n"/>
      <c r="S218" s="26" t="inlineStr"/>
      <c r="T218" s="26" t="inlineStr"/>
      <c r="U218" s="26" t="inlineStr"/>
      <c r="V218" s="26" t="inlineStr">
        <is>
          <t>Framework agreement for trailers for Defence and Police vehicles, including spare parts and maintenance services.</t>
        </is>
      </c>
      <c r="W218" s="26" t="inlineStr">
        <is>
          <t>NO-DF</t>
        </is>
      </c>
      <c r="X218" s="29" t="inlineStr">
        <is>
          <t>https://doffin.no/notices/307144</t>
        </is>
      </c>
    </row>
    <row r="219" ht="45" customHeight="1">
      <c r="B219" s="26" t="inlineStr">
        <is>
          <t>NL-577684</t>
        </is>
      </c>
      <c r="C219" s="26" t="inlineStr">
        <is>
          <t>Supply and Maintenance of Mechanical Field Service Trailers</t>
        </is>
      </c>
      <c r="D219" s="26" t="inlineStr">
        <is>
          <t>Netherlands</t>
        </is>
      </c>
      <c r="E219" s="26" t="inlineStr">
        <is>
          <t>Defensie Materieel Organisatie</t>
        </is>
      </c>
      <c r="F219" s="26" t="inlineStr"/>
      <c r="G219" s="26" t="inlineStr">
        <is>
          <t>Unknown</t>
        </is>
      </c>
      <c r="H219" s="26" t="n"/>
      <c r="I219" s="26" t="inlineStr"/>
      <c r="J219" s="26" t="n"/>
      <c r="K219" s="26" t="inlineStr">
        <is>
          <t>Mechanical field service trailer</t>
        </is>
      </c>
      <c r="L219" s="26" t="inlineStr">
        <is>
          <t>Special Purpose</t>
        </is>
      </c>
      <c r="M219" s="26" t="n"/>
      <c r="N219" s="26" t="inlineStr"/>
      <c r="O219" s="26" t="inlineStr"/>
      <c r="P219" s="26" t="n"/>
      <c r="Q219" s="26" t="inlineStr">
        <is>
          <t>Maintenance services</t>
        </is>
      </c>
      <c r="R219" s="26" t="n"/>
      <c r="S219" s="26" t="inlineStr"/>
      <c r="T219" s="26" t="inlineStr"/>
      <c r="U219" s="26" t="inlineStr"/>
      <c r="V219" s="26" t="inlineStr">
        <is>
          <t>Supply and maintenance of Mechanical Field Service Trailers for the Dutch Ministry of Defence</t>
        </is>
      </c>
      <c r="W219" s="26" t="inlineStr">
        <is>
          <t>TED+NL-TN</t>
        </is>
      </c>
      <c r="X219" s="29" t="inlineStr">
        <is>
          <t>https://www.tenderned.nl/aankondigingen/overzicht/577684</t>
        </is>
      </c>
    </row>
    <row r="220" ht="45" customHeight="1">
      <c r="B220" s="26" t="inlineStr">
        <is>
          <t>UA-UA-2026-04-08-011067-a</t>
        </is>
      </c>
      <c r="C220" s="26" t="inlineStr">
        <is>
          <t>Military Semi-trailer Low-bed Transporter 30-50 tons</t>
        </is>
      </c>
      <c r="D220" s="26" t="inlineStr">
        <is>
          <t>Ukraine</t>
        </is>
      </c>
      <c r="E220" s="26" t="inlineStr">
        <is>
          <t>Armed Forces of Ukraine</t>
        </is>
      </c>
      <c r="F220" s="27" t="n">
        <v>46120</v>
      </c>
      <c r="G220" s="26" t="inlineStr">
        <is>
          <t>Open</t>
        </is>
      </c>
      <c r="H220" s="26" t="n"/>
      <c r="I220" s="26" t="inlineStr"/>
      <c r="J220" s="26" t="n"/>
      <c r="K220" s="26" t="inlineStr">
        <is>
          <t>30-50 ton low-bed semi-trailer transporter</t>
        </is>
      </c>
      <c r="L220" s="26" t="inlineStr">
        <is>
          <t>Low-Bed</t>
        </is>
      </c>
      <c r="M220" s="26" t="n"/>
      <c r="N220" s="26" t="inlineStr"/>
      <c r="O220" s="26" t="inlineStr"/>
      <c r="P220" s="26" t="n"/>
      <c r="Q220" s="26" t="inlineStr"/>
      <c r="R220" s="26" t="n"/>
      <c r="S220" s="26" t="inlineStr"/>
      <c r="T220" s="26" t="inlineStr"/>
      <c r="U220" s="26" t="inlineStr"/>
      <c r="V220" s="26" t="inlineStr">
        <is>
          <t>Procurement of military semi-trailer low-bed transporter with capacity of 30-50 tons for heavy equipment transport by Ukrainian Armed Forces unit T0930</t>
        </is>
      </c>
      <c r="W220" s="26" t="inlineStr">
        <is>
          <t>TED+UA-PR</t>
        </is>
      </c>
      <c r="X220" s="29" t="inlineStr">
        <is>
          <t>https://prozorro.gov.ua/tender/UA-2026-04-08-011067-a</t>
        </is>
      </c>
    </row>
    <row r="221" ht="45" customHeight="1">
      <c r="B221" s="26" t="inlineStr">
        <is>
          <t>EE-RP-e7bea398-bdab-48f6-aa92-7a15a091c98b</t>
        </is>
      </c>
      <c r="C221" s="26" t="inlineStr">
        <is>
          <t>Procurement of cargo platforms and container chassis with spare parts and maintenance services</t>
        </is>
      </c>
      <c r="D221" s="26" t="inlineStr">
        <is>
          <t>Estonia</t>
        </is>
      </c>
      <c r="E221" s="26" t="inlineStr">
        <is>
          <t>Riigi Kaitseinvesteeringute Keskus</t>
        </is>
      </c>
      <c r="F221" s="26" t="inlineStr"/>
      <c r="G221" s="26" t="inlineStr">
        <is>
          <t>Unknown</t>
        </is>
      </c>
      <c r="H221" s="26" t="n"/>
      <c r="I221" s="26" t="inlineStr"/>
      <c r="J221" s="26" t="n"/>
      <c r="K221" s="26" t="inlineStr">
        <is>
          <t>Container chassis trailer</t>
        </is>
      </c>
      <c r="L221" s="26" t="inlineStr">
        <is>
          <t>Semitrailer</t>
        </is>
      </c>
      <c r="M221" s="26" t="n"/>
      <c r="N221" s="26" t="inlineStr">
        <is>
          <t>Cargo platform trailer</t>
        </is>
      </c>
      <c r="O221" s="26" t="inlineStr">
        <is>
          <t>Cargo Trailer</t>
        </is>
      </c>
      <c r="P221" s="26" t="n"/>
      <c r="Q221" s="26" t="inlineStr">
        <is>
          <t>Spare parts and maintenance/repair services</t>
        </is>
      </c>
      <c r="R221" s="26" t="n"/>
      <c r="S221" s="26" t="inlineStr"/>
      <c r="T221" s="26" t="inlineStr"/>
      <c r="U221" s="26" t="inlineStr"/>
      <c r="V221" s="26" t="inlineStr">
        <is>
          <t>Procurement of cargo platforms and container underframes/chassis including spare parts and repair/maintenance services for military use</t>
        </is>
      </c>
      <c r="W221" s="26" t="inlineStr">
        <is>
          <t>TED+EE-RP</t>
        </is>
      </c>
      <c r="X221" s="29" t="inlineStr">
        <is>
          <t>https://riigihanked.riik.ee/rhr-web/#/procurement/e7bea398-bdab-48f6-aa92-7a15a091c98b</t>
        </is>
      </c>
    </row>
    <row r="222" ht="45" customHeight="1">
      <c r="B222" s="26" t="inlineStr">
        <is>
          <t>EE-RP-56bb148e-3a67-445c-9f37-efed40677d41</t>
        </is>
      </c>
      <c r="C222" s="26" t="inlineStr">
        <is>
          <t>CBRN Decontamination Trailers Purchase for Montenegro</t>
        </is>
      </c>
      <c r="D222" s="26" t="inlineStr">
        <is>
          <t>Estonia</t>
        </is>
      </c>
      <c r="E222" s="26" t="inlineStr">
        <is>
          <t>Riigi Kaitseinvesteeringute Keskus</t>
        </is>
      </c>
      <c r="F222" s="26" t="inlineStr"/>
      <c r="G222" s="26" t="inlineStr">
        <is>
          <t>Unknown</t>
        </is>
      </c>
      <c r="H222" s="26" t="n"/>
      <c r="I222" s="26" t="inlineStr"/>
      <c r="J222" s="26" t="n"/>
      <c r="K222" s="26" t="inlineStr">
        <is>
          <t>CBRN decontamination trailer</t>
        </is>
      </c>
      <c r="L222" s="26" t="inlineStr">
        <is>
          <t>Special Purpose</t>
        </is>
      </c>
      <c r="M222" s="26" t="n"/>
      <c r="N222" s="26" t="inlineStr"/>
      <c r="O222" s="26" t="inlineStr"/>
      <c r="P222" s="26" t="n"/>
      <c r="Q222" s="26" t="inlineStr"/>
      <c r="R222" s="26" t="n"/>
      <c r="S222" s="26" t="inlineStr"/>
      <c r="T222" s="26" t="inlineStr"/>
      <c r="U222" s="26" t="inlineStr"/>
      <c r="V222" s="26" t="inlineStr">
        <is>
          <t>Procurement of CBRN (Chemical, Biological, Radiological, Nuclear) decontamination trailers for Montenegro by Estonian Defence Investment Centre</t>
        </is>
      </c>
      <c r="W222" s="26" t="inlineStr">
        <is>
          <t>TED+EE-RP</t>
        </is>
      </c>
      <c r="X222" s="29" t="inlineStr">
        <is>
          <t>https://riigihanked.riik.ee/rhr-web/#/procurement/56bb148e-3a67-445c-9f37-efed40677d41</t>
        </is>
      </c>
    </row>
    <row r="223" ht="45" customHeight="1">
      <c r="B223" s="26" t="inlineStr">
        <is>
          <t>EE-RP-7825c9a9-5907-4b95-ac37-c178c560b1a9</t>
        </is>
      </c>
      <c r="C223" s="26" t="inlineStr">
        <is>
          <t>Procurement of Refrigerated Vehicles and Trailers for Moldova</t>
        </is>
      </c>
      <c r="D223" s="26" t="inlineStr">
        <is>
          <t>Estonia</t>
        </is>
      </c>
      <c r="E223" s="26" t="inlineStr">
        <is>
          <t>Riigi Kaitseinvesteeringute Keskus</t>
        </is>
      </c>
      <c r="F223" s="26" t="inlineStr"/>
      <c r="G223" s="26" t="inlineStr">
        <is>
          <t>Unknown</t>
        </is>
      </c>
      <c r="H223" s="26" t="n"/>
      <c r="I223" s="26" t="inlineStr"/>
      <c r="J223" s="26" t="n"/>
      <c r="K223" s="26" t="inlineStr">
        <is>
          <t>Refrigerated trailer (type not specified in notice)</t>
        </is>
      </c>
      <c r="L223" s="26" t="inlineStr">
        <is>
          <t>Special Purpose</t>
        </is>
      </c>
      <c r="M223" s="26" t="n"/>
      <c r="N223" s="26" t="inlineStr"/>
      <c r="O223" s="26" t="inlineStr"/>
      <c r="P223" s="26" t="n"/>
      <c r="Q223" s="26" t="inlineStr">
        <is>
          <t>Refrigerated vehicles</t>
        </is>
      </c>
      <c r="R223" s="26" t="n"/>
      <c r="S223" s="26" t="inlineStr"/>
      <c r="T223" s="26" t="inlineStr"/>
      <c r="U223" s="26" t="inlineStr"/>
      <c r="V223" s="26" t="inlineStr">
        <is>
          <t>Procurement of refrigerated vehicles and trailers for Moldova</t>
        </is>
      </c>
      <c r="W223" s="26" t="inlineStr">
        <is>
          <t>TED+EE-RP</t>
        </is>
      </c>
      <c r="X223" s="29" t="inlineStr">
        <is>
          <t>https://riigihanked.riik.ee/rhr-web/#/procurement/7825c9a9-5907-4b95-ac37-c178c560b1a9</t>
        </is>
      </c>
    </row>
  </sheetData>
  <autoFilter ref="B4:X224"/>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U34" r:id="rId30"/>
    <hyperlink xmlns:r="http://schemas.openxmlformats.org/officeDocument/2006/relationships" ref="U35" r:id="rId31"/>
    <hyperlink xmlns:r="http://schemas.openxmlformats.org/officeDocument/2006/relationships" ref="U36" r:id="rId32"/>
    <hyperlink xmlns:r="http://schemas.openxmlformats.org/officeDocument/2006/relationships" ref="U37" r:id="rId33"/>
    <hyperlink xmlns:r="http://schemas.openxmlformats.org/officeDocument/2006/relationships" ref="U38" r:id="rId34"/>
    <hyperlink xmlns:r="http://schemas.openxmlformats.org/officeDocument/2006/relationships" ref="U39" r:id="rId35"/>
    <hyperlink xmlns:r="http://schemas.openxmlformats.org/officeDocument/2006/relationships" ref="U40" r:id="rId36"/>
    <hyperlink xmlns:r="http://schemas.openxmlformats.org/officeDocument/2006/relationships" ref="U41" r:id="rId37"/>
    <hyperlink xmlns:r="http://schemas.openxmlformats.org/officeDocument/2006/relationships" ref="U42" r:id="rId38"/>
    <hyperlink xmlns:r="http://schemas.openxmlformats.org/officeDocument/2006/relationships" ref="U43" r:id="rId39"/>
    <hyperlink xmlns:r="http://schemas.openxmlformats.org/officeDocument/2006/relationships" ref="U44" r:id="rId40"/>
    <hyperlink xmlns:r="http://schemas.openxmlformats.org/officeDocument/2006/relationships" ref="U45" r:id="rId41"/>
    <hyperlink xmlns:r="http://schemas.openxmlformats.org/officeDocument/2006/relationships" ref="U46" r:id="rId42"/>
    <hyperlink xmlns:r="http://schemas.openxmlformats.org/officeDocument/2006/relationships" ref="U47" r:id="rId43"/>
    <hyperlink xmlns:r="http://schemas.openxmlformats.org/officeDocument/2006/relationships" ref="U48" r:id="rId44"/>
    <hyperlink xmlns:r="http://schemas.openxmlformats.org/officeDocument/2006/relationships" ref="U49" r:id="rId45"/>
    <hyperlink xmlns:r="http://schemas.openxmlformats.org/officeDocument/2006/relationships" ref="U50" r:id="rId46"/>
    <hyperlink xmlns:r="http://schemas.openxmlformats.org/officeDocument/2006/relationships" ref="U51" r:id="rId47"/>
    <hyperlink xmlns:r="http://schemas.openxmlformats.org/officeDocument/2006/relationships" ref="U52" r:id="rId48"/>
    <hyperlink xmlns:r="http://schemas.openxmlformats.org/officeDocument/2006/relationships" ref="U53" r:id="rId49"/>
    <hyperlink xmlns:r="http://schemas.openxmlformats.org/officeDocument/2006/relationships" ref="U54" r:id="rId50"/>
    <hyperlink xmlns:r="http://schemas.openxmlformats.org/officeDocument/2006/relationships" ref="U55" r:id="rId51"/>
    <hyperlink xmlns:r="http://schemas.openxmlformats.org/officeDocument/2006/relationships" ref="U56" r:id="rId52"/>
    <hyperlink xmlns:r="http://schemas.openxmlformats.org/officeDocument/2006/relationships" ref="U57" r:id="rId53"/>
    <hyperlink xmlns:r="http://schemas.openxmlformats.org/officeDocument/2006/relationships" ref="U58" r:id="rId54"/>
    <hyperlink xmlns:r="http://schemas.openxmlformats.org/officeDocument/2006/relationships" ref="U59" r:id="rId55"/>
    <hyperlink xmlns:r="http://schemas.openxmlformats.org/officeDocument/2006/relationships" ref="U60" r:id="rId56"/>
    <hyperlink xmlns:r="http://schemas.openxmlformats.org/officeDocument/2006/relationships" ref="U61" r:id="rId57"/>
    <hyperlink xmlns:r="http://schemas.openxmlformats.org/officeDocument/2006/relationships" ref="U62" r:id="rId58"/>
    <hyperlink xmlns:r="http://schemas.openxmlformats.org/officeDocument/2006/relationships" ref="U63" r:id="rId59"/>
    <hyperlink xmlns:r="http://schemas.openxmlformats.org/officeDocument/2006/relationships" ref="U64" r:id="rId60"/>
    <hyperlink xmlns:r="http://schemas.openxmlformats.org/officeDocument/2006/relationships" ref="U65" r:id="rId61"/>
    <hyperlink xmlns:r="http://schemas.openxmlformats.org/officeDocument/2006/relationships" ref="U66" r:id="rId62"/>
    <hyperlink xmlns:r="http://schemas.openxmlformats.org/officeDocument/2006/relationships" ref="U67" r:id="rId63"/>
    <hyperlink xmlns:r="http://schemas.openxmlformats.org/officeDocument/2006/relationships" ref="U68" r:id="rId64"/>
    <hyperlink xmlns:r="http://schemas.openxmlformats.org/officeDocument/2006/relationships" ref="U69" r:id="rId65"/>
    <hyperlink xmlns:r="http://schemas.openxmlformats.org/officeDocument/2006/relationships" ref="U70" r:id="rId66"/>
    <hyperlink xmlns:r="http://schemas.openxmlformats.org/officeDocument/2006/relationships" ref="U71" r:id="rId67"/>
    <hyperlink xmlns:r="http://schemas.openxmlformats.org/officeDocument/2006/relationships" ref="U72" r:id="rId68"/>
    <hyperlink xmlns:r="http://schemas.openxmlformats.org/officeDocument/2006/relationships" ref="U73" r:id="rId69"/>
    <hyperlink xmlns:r="http://schemas.openxmlformats.org/officeDocument/2006/relationships" ref="U74" r:id="rId70"/>
    <hyperlink xmlns:r="http://schemas.openxmlformats.org/officeDocument/2006/relationships" ref="U75" r:id="rId71"/>
    <hyperlink xmlns:r="http://schemas.openxmlformats.org/officeDocument/2006/relationships" ref="U76" r:id="rId72"/>
    <hyperlink xmlns:r="http://schemas.openxmlformats.org/officeDocument/2006/relationships" ref="U77" r:id="rId73"/>
    <hyperlink xmlns:r="http://schemas.openxmlformats.org/officeDocument/2006/relationships" ref="U78" r:id="rId74"/>
    <hyperlink xmlns:r="http://schemas.openxmlformats.org/officeDocument/2006/relationships" ref="U79" r:id="rId75"/>
    <hyperlink xmlns:r="http://schemas.openxmlformats.org/officeDocument/2006/relationships" ref="U80" r:id="rId76"/>
    <hyperlink xmlns:r="http://schemas.openxmlformats.org/officeDocument/2006/relationships" ref="U81" r:id="rId77"/>
    <hyperlink xmlns:r="http://schemas.openxmlformats.org/officeDocument/2006/relationships" ref="U82" r:id="rId78"/>
    <hyperlink xmlns:r="http://schemas.openxmlformats.org/officeDocument/2006/relationships" ref="U83" r:id="rId79"/>
    <hyperlink xmlns:r="http://schemas.openxmlformats.org/officeDocument/2006/relationships" ref="U84" r:id="rId80"/>
    <hyperlink xmlns:r="http://schemas.openxmlformats.org/officeDocument/2006/relationships" ref="U85" r:id="rId81"/>
    <hyperlink xmlns:r="http://schemas.openxmlformats.org/officeDocument/2006/relationships" ref="U86" r:id="rId82"/>
    <hyperlink xmlns:r="http://schemas.openxmlformats.org/officeDocument/2006/relationships" ref="U87" r:id="rId83"/>
    <hyperlink xmlns:r="http://schemas.openxmlformats.org/officeDocument/2006/relationships" ref="U88" r:id="rId84"/>
    <hyperlink xmlns:r="http://schemas.openxmlformats.org/officeDocument/2006/relationships" ref="U89" r:id="rId85"/>
    <hyperlink xmlns:r="http://schemas.openxmlformats.org/officeDocument/2006/relationships" ref="U90" r:id="rId86"/>
    <hyperlink xmlns:r="http://schemas.openxmlformats.org/officeDocument/2006/relationships" ref="U91" r:id="rId87"/>
    <hyperlink xmlns:r="http://schemas.openxmlformats.org/officeDocument/2006/relationships" ref="U92" r:id="rId88"/>
    <hyperlink xmlns:r="http://schemas.openxmlformats.org/officeDocument/2006/relationships" ref="U93" r:id="rId89"/>
    <hyperlink xmlns:r="http://schemas.openxmlformats.org/officeDocument/2006/relationships" ref="U94" r:id="rId90"/>
    <hyperlink xmlns:r="http://schemas.openxmlformats.org/officeDocument/2006/relationships" ref="U95" r:id="rId91"/>
    <hyperlink xmlns:r="http://schemas.openxmlformats.org/officeDocument/2006/relationships" ref="U96" r:id="rId92"/>
    <hyperlink xmlns:r="http://schemas.openxmlformats.org/officeDocument/2006/relationships" ref="U97" r:id="rId93"/>
    <hyperlink xmlns:r="http://schemas.openxmlformats.org/officeDocument/2006/relationships" ref="U98" r:id="rId94"/>
    <hyperlink xmlns:r="http://schemas.openxmlformats.org/officeDocument/2006/relationships" ref="U99" r:id="rId95"/>
    <hyperlink xmlns:r="http://schemas.openxmlformats.org/officeDocument/2006/relationships" ref="U100" r:id="rId96"/>
    <hyperlink xmlns:r="http://schemas.openxmlformats.org/officeDocument/2006/relationships" ref="U101" r:id="rId97"/>
    <hyperlink xmlns:r="http://schemas.openxmlformats.org/officeDocument/2006/relationships" ref="U102" r:id="rId98"/>
    <hyperlink xmlns:r="http://schemas.openxmlformats.org/officeDocument/2006/relationships" ref="U103" r:id="rId99"/>
    <hyperlink xmlns:r="http://schemas.openxmlformats.org/officeDocument/2006/relationships" ref="U104" r:id="rId100"/>
    <hyperlink xmlns:r="http://schemas.openxmlformats.org/officeDocument/2006/relationships" ref="U105" r:id="rId101"/>
    <hyperlink xmlns:r="http://schemas.openxmlformats.org/officeDocument/2006/relationships" ref="U106" r:id="rId102"/>
    <hyperlink xmlns:r="http://schemas.openxmlformats.org/officeDocument/2006/relationships" ref="U107" r:id="rId103"/>
    <hyperlink xmlns:r="http://schemas.openxmlformats.org/officeDocument/2006/relationships" ref="U108" r:id="rId104"/>
    <hyperlink xmlns:r="http://schemas.openxmlformats.org/officeDocument/2006/relationships" ref="U109" r:id="rId105"/>
    <hyperlink xmlns:r="http://schemas.openxmlformats.org/officeDocument/2006/relationships" ref="U110" r:id="rId106"/>
    <hyperlink xmlns:r="http://schemas.openxmlformats.org/officeDocument/2006/relationships" ref="U111" r:id="rId107"/>
    <hyperlink xmlns:r="http://schemas.openxmlformats.org/officeDocument/2006/relationships" ref="U112" r:id="rId108"/>
    <hyperlink xmlns:r="http://schemas.openxmlformats.org/officeDocument/2006/relationships" ref="U113" r:id="rId109"/>
    <hyperlink xmlns:r="http://schemas.openxmlformats.org/officeDocument/2006/relationships" ref="U114" r:id="rId110"/>
    <hyperlink xmlns:r="http://schemas.openxmlformats.org/officeDocument/2006/relationships" ref="U115" r:id="rId111"/>
    <hyperlink xmlns:r="http://schemas.openxmlformats.org/officeDocument/2006/relationships" ref="U116" r:id="rId112"/>
    <hyperlink xmlns:r="http://schemas.openxmlformats.org/officeDocument/2006/relationships" ref="U117" r:id="rId113"/>
    <hyperlink xmlns:r="http://schemas.openxmlformats.org/officeDocument/2006/relationships" ref="U118" r:id="rId114"/>
    <hyperlink xmlns:r="http://schemas.openxmlformats.org/officeDocument/2006/relationships" ref="U119" r:id="rId115"/>
    <hyperlink xmlns:r="http://schemas.openxmlformats.org/officeDocument/2006/relationships" ref="U120" r:id="rId116"/>
    <hyperlink xmlns:r="http://schemas.openxmlformats.org/officeDocument/2006/relationships" ref="U121" r:id="rId117"/>
    <hyperlink xmlns:r="http://schemas.openxmlformats.org/officeDocument/2006/relationships" ref="U122" r:id="rId118"/>
    <hyperlink xmlns:r="http://schemas.openxmlformats.org/officeDocument/2006/relationships" ref="U123" r:id="rId119"/>
    <hyperlink xmlns:r="http://schemas.openxmlformats.org/officeDocument/2006/relationships" ref="U124" r:id="rId120"/>
    <hyperlink xmlns:r="http://schemas.openxmlformats.org/officeDocument/2006/relationships" ref="U125" r:id="rId121"/>
    <hyperlink xmlns:r="http://schemas.openxmlformats.org/officeDocument/2006/relationships" ref="U126" r:id="rId122"/>
    <hyperlink xmlns:r="http://schemas.openxmlformats.org/officeDocument/2006/relationships" ref="U127" r:id="rId123"/>
    <hyperlink xmlns:r="http://schemas.openxmlformats.org/officeDocument/2006/relationships" ref="U128" r:id="rId124"/>
    <hyperlink xmlns:r="http://schemas.openxmlformats.org/officeDocument/2006/relationships" ref="U129" r:id="rId125"/>
    <hyperlink xmlns:r="http://schemas.openxmlformats.org/officeDocument/2006/relationships" ref="U130" r:id="rId126"/>
    <hyperlink xmlns:r="http://schemas.openxmlformats.org/officeDocument/2006/relationships" ref="U131" r:id="rId127"/>
    <hyperlink xmlns:r="http://schemas.openxmlformats.org/officeDocument/2006/relationships" ref="U132" r:id="rId128"/>
    <hyperlink xmlns:r="http://schemas.openxmlformats.org/officeDocument/2006/relationships" ref="U133" r:id="rId129"/>
    <hyperlink xmlns:r="http://schemas.openxmlformats.org/officeDocument/2006/relationships" ref="U134" r:id="rId130"/>
    <hyperlink xmlns:r="http://schemas.openxmlformats.org/officeDocument/2006/relationships" ref="U135" r:id="rId131"/>
    <hyperlink xmlns:r="http://schemas.openxmlformats.org/officeDocument/2006/relationships" ref="U136" r:id="rId132"/>
    <hyperlink xmlns:r="http://schemas.openxmlformats.org/officeDocument/2006/relationships" ref="U137" r:id="rId133"/>
    <hyperlink xmlns:r="http://schemas.openxmlformats.org/officeDocument/2006/relationships" ref="U138" r:id="rId134"/>
    <hyperlink xmlns:r="http://schemas.openxmlformats.org/officeDocument/2006/relationships" ref="U139" r:id="rId135"/>
    <hyperlink xmlns:r="http://schemas.openxmlformats.org/officeDocument/2006/relationships" ref="U140" r:id="rId136"/>
    <hyperlink xmlns:r="http://schemas.openxmlformats.org/officeDocument/2006/relationships" ref="U141" r:id="rId137"/>
    <hyperlink xmlns:r="http://schemas.openxmlformats.org/officeDocument/2006/relationships" ref="U142" r:id="rId138"/>
    <hyperlink xmlns:r="http://schemas.openxmlformats.org/officeDocument/2006/relationships" ref="U143" r:id="rId139"/>
    <hyperlink xmlns:r="http://schemas.openxmlformats.org/officeDocument/2006/relationships" ref="U144" r:id="rId140"/>
    <hyperlink xmlns:r="http://schemas.openxmlformats.org/officeDocument/2006/relationships" ref="U145" r:id="rId141"/>
    <hyperlink xmlns:r="http://schemas.openxmlformats.org/officeDocument/2006/relationships" ref="U146" r:id="rId142"/>
    <hyperlink xmlns:r="http://schemas.openxmlformats.org/officeDocument/2006/relationships" ref="U147" r:id="rId143"/>
    <hyperlink xmlns:r="http://schemas.openxmlformats.org/officeDocument/2006/relationships" ref="U148" r:id="rId144"/>
    <hyperlink xmlns:r="http://schemas.openxmlformats.org/officeDocument/2006/relationships" ref="U149" r:id="rId145"/>
    <hyperlink xmlns:r="http://schemas.openxmlformats.org/officeDocument/2006/relationships" ref="U150" r:id="rId146"/>
    <hyperlink xmlns:r="http://schemas.openxmlformats.org/officeDocument/2006/relationships" ref="U151" r:id="rId147"/>
    <hyperlink xmlns:r="http://schemas.openxmlformats.org/officeDocument/2006/relationships" ref="U152" r:id="rId148"/>
    <hyperlink xmlns:r="http://schemas.openxmlformats.org/officeDocument/2006/relationships" ref="U153" r:id="rId149"/>
    <hyperlink xmlns:r="http://schemas.openxmlformats.org/officeDocument/2006/relationships" ref="U154" r:id="rId150"/>
    <hyperlink xmlns:r="http://schemas.openxmlformats.org/officeDocument/2006/relationships" ref="U155" r:id="rId151"/>
    <hyperlink xmlns:r="http://schemas.openxmlformats.org/officeDocument/2006/relationships" ref="U156" r:id="rId152"/>
    <hyperlink xmlns:r="http://schemas.openxmlformats.org/officeDocument/2006/relationships" ref="U157" r:id="rId153"/>
    <hyperlink xmlns:r="http://schemas.openxmlformats.org/officeDocument/2006/relationships" ref="U158" r:id="rId154"/>
    <hyperlink xmlns:r="http://schemas.openxmlformats.org/officeDocument/2006/relationships" ref="U159" r:id="rId155"/>
    <hyperlink xmlns:r="http://schemas.openxmlformats.org/officeDocument/2006/relationships" ref="U160" r:id="rId156"/>
    <hyperlink xmlns:r="http://schemas.openxmlformats.org/officeDocument/2006/relationships" ref="U161" r:id="rId157"/>
    <hyperlink xmlns:r="http://schemas.openxmlformats.org/officeDocument/2006/relationships" ref="U162" r:id="rId158"/>
    <hyperlink xmlns:r="http://schemas.openxmlformats.org/officeDocument/2006/relationships" ref="U163" r:id="rId159"/>
    <hyperlink xmlns:r="http://schemas.openxmlformats.org/officeDocument/2006/relationships" ref="U164" r:id="rId160"/>
    <hyperlink xmlns:r="http://schemas.openxmlformats.org/officeDocument/2006/relationships" ref="U165" r:id="rId161"/>
    <hyperlink xmlns:r="http://schemas.openxmlformats.org/officeDocument/2006/relationships" ref="U166" r:id="rId162"/>
    <hyperlink xmlns:r="http://schemas.openxmlformats.org/officeDocument/2006/relationships" ref="X167" r:id="rId163"/>
    <hyperlink xmlns:r="http://schemas.openxmlformats.org/officeDocument/2006/relationships" ref="X168" r:id="rId164"/>
    <hyperlink xmlns:r="http://schemas.openxmlformats.org/officeDocument/2006/relationships" ref="X169" r:id="rId165"/>
    <hyperlink xmlns:r="http://schemas.openxmlformats.org/officeDocument/2006/relationships" ref="X170" r:id="rId166"/>
    <hyperlink xmlns:r="http://schemas.openxmlformats.org/officeDocument/2006/relationships" ref="X171" r:id="rId167"/>
    <hyperlink xmlns:r="http://schemas.openxmlformats.org/officeDocument/2006/relationships" ref="X172" r:id="rId168"/>
    <hyperlink xmlns:r="http://schemas.openxmlformats.org/officeDocument/2006/relationships" ref="X173" r:id="rId169"/>
    <hyperlink xmlns:r="http://schemas.openxmlformats.org/officeDocument/2006/relationships" ref="X174" r:id="rId170"/>
    <hyperlink xmlns:r="http://schemas.openxmlformats.org/officeDocument/2006/relationships" ref="X175" r:id="rId171"/>
    <hyperlink xmlns:r="http://schemas.openxmlformats.org/officeDocument/2006/relationships" ref="X176" r:id="rId172"/>
    <hyperlink xmlns:r="http://schemas.openxmlformats.org/officeDocument/2006/relationships" ref="X177" r:id="rId173"/>
    <hyperlink xmlns:r="http://schemas.openxmlformats.org/officeDocument/2006/relationships" ref="X178" r:id="rId174"/>
    <hyperlink xmlns:r="http://schemas.openxmlformats.org/officeDocument/2006/relationships" ref="X179" r:id="rId175"/>
    <hyperlink xmlns:r="http://schemas.openxmlformats.org/officeDocument/2006/relationships" ref="X180" r:id="rId176"/>
    <hyperlink xmlns:r="http://schemas.openxmlformats.org/officeDocument/2006/relationships" ref="X181" r:id="rId177"/>
    <hyperlink xmlns:r="http://schemas.openxmlformats.org/officeDocument/2006/relationships" ref="X182" r:id="rId178"/>
    <hyperlink xmlns:r="http://schemas.openxmlformats.org/officeDocument/2006/relationships" ref="X183" r:id="rId179"/>
    <hyperlink xmlns:r="http://schemas.openxmlformats.org/officeDocument/2006/relationships" ref="X184" r:id="rId180"/>
    <hyperlink xmlns:r="http://schemas.openxmlformats.org/officeDocument/2006/relationships" ref="X185" r:id="rId181"/>
    <hyperlink xmlns:r="http://schemas.openxmlformats.org/officeDocument/2006/relationships" ref="X186" r:id="rId182"/>
    <hyperlink xmlns:r="http://schemas.openxmlformats.org/officeDocument/2006/relationships" ref="X187" r:id="rId183"/>
    <hyperlink xmlns:r="http://schemas.openxmlformats.org/officeDocument/2006/relationships" ref="X188" r:id="rId184"/>
    <hyperlink xmlns:r="http://schemas.openxmlformats.org/officeDocument/2006/relationships" ref="X189" r:id="rId185"/>
    <hyperlink xmlns:r="http://schemas.openxmlformats.org/officeDocument/2006/relationships" ref="X190" r:id="rId186"/>
    <hyperlink xmlns:r="http://schemas.openxmlformats.org/officeDocument/2006/relationships" ref="X191" r:id="rId187"/>
    <hyperlink xmlns:r="http://schemas.openxmlformats.org/officeDocument/2006/relationships" ref="X192" r:id="rId188"/>
    <hyperlink xmlns:r="http://schemas.openxmlformats.org/officeDocument/2006/relationships" ref="X193" r:id="rId189"/>
    <hyperlink xmlns:r="http://schemas.openxmlformats.org/officeDocument/2006/relationships" ref="X194" r:id="rId190"/>
    <hyperlink xmlns:r="http://schemas.openxmlformats.org/officeDocument/2006/relationships" ref="X195" r:id="rId191"/>
    <hyperlink xmlns:r="http://schemas.openxmlformats.org/officeDocument/2006/relationships" ref="X196" r:id="rId192"/>
    <hyperlink xmlns:r="http://schemas.openxmlformats.org/officeDocument/2006/relationships" ref="X197" r:id="rId193"/>
    <hyperlink xmlns:r="http://schemas.openxmlformats.org/officeDocument/2006/relationships" ref="X198" r:id="rId194"/>
    <hyperlink xmlns:r="http://schemas.openxmlformats.org/officeDocument/2006/relationships" ref="X199" r:id="rId195"/>
    <hyperlink xmlns:r="http://schemas.openxmlformats.org/officeDocument/2006/relationships" ref="X200" r:id="rId196"/>
    <hyperlink xmlns:r="http://schemas.openxmlformats.org/officeDocument/2006/relationships" ref="X201" r:id="rId197"/>
    <hyperlink xmlns:r="http://schemas.openxmlformats.org/officeDocument/2006/relationships" ref="X202" r:id="rId198"/>
    <hyperlink xmlns:r="http://schemas.openxmlformats.org/officeDocument/2006/relationships" ref="X203" r:id="rId199"/>
    <hyperlink xmlns:r="http://schemas.openxmlformats.org/officeDocument/2006/relationships" ref="X204" r:id="rId200"/>
    <hyperlink xmlns:r="http://schemas.openxmlformats.org/officeDocument/2006/relationships" ref="X205" r:id="rId201"/>
    <hyperlink xmlns:r="http://schemas.openxmlformats.org/officeDocument/2006/relationships" ref="X206" r:id="rId202"/>
    <hyperlink xmlns:r="http://schemas.openxmlformats.org/officeDocument/2006/relationships" ref="X207" r:id="rId203"/>
    <hyperlink xmlns:r="http://schemas.openxmlformats.org/officeDocument/2006/relationships" ref="X208" r:id="rId204"/>
    <hyperlink xmlns:r="http://schemas.openxmlformats.org/officeDocument/2006/relationships" ref="X209" r:id="rId205"/>
    <hyperlink xmlns:r="http://schemas.openxmlformats.org/officeDocument/2006/relationships" ref="X210" r:id="rId206"/>
    <hyperlink xmlns:r="http://schemas.openxmlformats.org/officeDocument/2006/relationships" ref="X211" r:id="rId207"/>
    <hyperlink xmlns:r="http://schemas.openxmlformats.org/officeDocument/2006/relationships" ref="X212" r:id="rId208"/>
    <hyperlink xmlns:r="http://schemas.openxmlformats.org/officeDocument/2006/relationships" ref="X213" r:id="rId209"/>
    <hyperlink xmlns:r="http://schemas.openxmlformats.org/officeDocument/2006/relationships" ref="X214" r:id="rId210"/>
    <hyperlink xmlns:r="http://schemas.openxmlformats.org/officeDocument/2006/relationships" ref="X215" r:id="rId211"/>
    <hyperlink xmlns:r="http://schemas.openxmlformats.org/officeDocument/2006/relationships" ref="X216" r:id="rId212"/>
    <hyperlink xmlns:r="http://schemas.openxmlformats.org/officeDocument/2006/relationships" ref="X217" r:id="rId213"/>
    <hyperlink xmlns:r="http://schemas.openxmlformats.org/officeDocument/2006/relationships" ref="X218" r:id="rId214"/>
    <hyperlink xmlns:r="http://schemas.openxmlformats.org/officeDocument/2006/relationships" ref="X219" r:id="rId215"/>
    <hyperlink xmlns:r="http://schemas.openxmlformats.org/officeDocument/2006/relationships" ref="X220" r:id="rId216"/>
    <hyperlink xmlns:r="http://schemas.openxmlformats.org/officeDocument/2006/relationships" ref="X221" r:id="rId217"/>
    <hyperlink xmlns:r="http://schemas.openxmlformats.org/officeDocument/2006/relationships" ref="X222" r:id="rId218"/>
    <hyperlink xmlns:r="http://schemas.openxmlformats.org/officeDocument/2006/relationships" ref="X223" r:id="rId21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Maximilian Rosenfeld</dc:creator>
  <dcterms:created xmlns:dcterms="http://purl.org/dc/terms/" xmlns:xsi="http://www.w3.org/2001/XMLSchema-instance" xsi:type="dcterms:W3CDTF">2026-04-07T14:29:04Z</dcterms:created>
  <dcterms:modified xmlns:dcterms="http://purl.org/dc/terms/" xmlns:xsi="http://www.w3.org/2001/XMLSchema-instance" xsi:type="dcterms:W3CDTF">2026-05-03T14:38:51Z</dcterms:modified>
  <cp:lastModifiedBy>Nils Heinrich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0x01010094D87464AAD89941A2CE8542117AE457</vt:lpwstr>
  </property>
</Properties>
</file>